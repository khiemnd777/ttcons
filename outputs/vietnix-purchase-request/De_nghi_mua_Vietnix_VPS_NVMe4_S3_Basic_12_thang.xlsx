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051533f20d449b" /></Relationships>
</file>

<file path=xl/workbook.xml><?xml version="1.0" encoding="utf-8"?>
<x:workbook xmlns:x="http://schemas.openxmlformats.org/spreadsheetml/2006/main">
  <x:sheets>
    <x:sheet xmlns:r="http://schemas.openxmlformats.org/officeDocument/2006/relationships" name="Đề nghị mua" sheetId="1" r:id="Rdd91f9a793dc4f7a"/>
    <x:sheet xmlns:r="http://schemas.openxmlformats.org/officeDocument/2006/relationships" name="Chi tiết kỹ thuật" sheetId="2" r:id="R7df03df177794cb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quot;đ&quot;"/>
  </x:numFmts>
  <x:fonts count="12">
    <x:font>
      <x:sz val="11"/>
      <x:name val="Carlito"/>
    </x:font>
    <x:font>
      <x:b/>
      <x:sz val="16"/>
      <x:color rgb="FF0B57D0"/>
      <x:name val="Carlito"/>
    </x:font>
    <x:font>
      <x:i/>
      <x:sz val="10"/>
      <x:color rgb="FF5F6368"/>
      <x:name val="Carlito"/>
    </x:font>
    <x:font>
      <x:b/>
      <x:sz val="11"/>
      <x:color rgb="FF202124"/>
      <x:name val="Carlito"/>
    </x:font>
    <x:font>
      <x:sz val="11"/>
      <x:color rgb="FF202124"/>
      <x:name val="Carlito"/>
    </x:font>
    <x:font>
      <x:b/>
      <x:sz val="11"/>
      <x:color rgb="FF0B57D0"/>
      <x:name val="Carlito"/>
    </x:font>
    <x:font>
      <x:b/>
      <x:sz val="11"/>
      <x:color rgb="FF137333"/>
      <x:name val="Carlito"/>
    </x:font>
    <x:font>
      <x:b/>
      <x:sz val="16"/>
      <x:color rgb="FF137333"/>
      <x:name val="Carlito"/>
    </x:font>
    <x:font>
      <x:b/>
      <x:sz val="11"/>
      <x:color rgb="FFB06000"/>
      <x:name val="Carlito"/>
    </x:font>
    <x:font>
      <x:b/>
      <x:sz val="16"/>
      <x:color rgb="FFB06000"/>
      <x:name val="Carlito"/>
    </x:font>
    <x:font>
      <x:b/>
      <x:sz val="11"/>
      <x:name val="Carlito"/>
    </x:font>
    <x:font>
      <x:b/>
      <x:sz val="15"/>
      <x:color rgb="FF0B57D0"/>
      <x:name val="Carlito"/>
    </x:font>
  </x:fonts>
  <x:fills count="9">
    <x:fill>
      <x:patternFill patternType="none"/>
    </x:fill>
    <x:fill>
      <x:patternFill patternType="gray125"/>
    </x:fill>
    <x:fill>
      <x:patternFill patternType="solid">
        <x:fgColor rgb="FFE8F0FE"/>
      </x:patternFill>
    </x:fill>
    <x:fill>
      <x:patternFill patternType="solid">
        <x:fgColor rgb="FFF1F3F4"/>
      </x:patternFill>
    </x:fill>
    <x:fill>
      <x:patternFill patternType="solid">
        <x:fgColor rgb="FFFFFFFF"/>
      </x:patternFill>
    </x:fill>
    <x:fill>
      <x:patternFill patternType="solid">
        <x:fgColor rgb="FFF5F8FE"/>
      </x:patternFill>
    </x:fill>
    <x:fill>
      <x:patternFill patternType="solid">
        <x:fgColor rgb="FFE6F4EA"/>
      </x:patternFill>
    </x:fill>
    <x:fill>
      <x:patternFill patternType="solid">
        <x:fgColor rgb="FFFEF7E0"/>
      </x:patternFill>
    </x:fill>
    <x:fill>
      <x:patternFill patternType="solid">
        <x:fgColor rgb="FFFFF8D6"/>
      </x:patternFill>
    </x:fill>
  </x:fills>
  <x:borders count="15">
    <x:border/>
    <x:border>
      <x:left style="thin">
        <x:color rgb="FFDADCE0"/>
      </x:left>
      <x:top style="thin">
        <x:color rgb="FFDADCE0"/>
      </x:top>
      <x:bottom style="thin">
        <x:color rgb="FFDADCE0"/>
      </x:bottom>
    </x:border>
    <x:border>
      <x:top style="thin">
        <x:color rgb="FFDADCE0"/>
      </x:top>
      <x:bottom style="thin">
        <x:color rgb="FFDADCE0"/>
      </x:bottom>
    </x:border>
    <x:border>
      <x:right style="thin">
        <x:color rgb="FFDADCE0"/>
      </x:right>
      <x:top style="thin">
        <x:color rgb="FFDADCE0"/>
      </x:top>
      <x:bottom style="thin">
        <x:color rgb="FFDADCE0"/>
      </x:bottom>
    </x:border>
    <x:border>
      <x:right style="thin">
        <x:color rgb="FFDADCE0"/>
      </x:right>
      <x:bottom style="thin">
        <x:color rgb="FFDADCE0"/>
      </x:bottom>
    </x:border>
    <x:border>
      <x:left style="thin">
        <x:color rgb="FFDADCE0"/>
      </x:left>
      <x:bottom style="thin">
        <x:color rgb="FFDADCE0"/>
      </x:bottom>
    </x:border>
    <x:border>
      <x:right style="thin">
        <x:color rgb="FFDADCE0"/>
      </x:right>
      <x:top style="thin">
        <x:color rgb="FFDADCE0"/>
      </x:top>
    </x:border>
    <x:border>
      <x:left style="thin">
        <x:color rgb="FFDADCE0"/>
      </x:left>
      <x:top style="thin">
        <x:color rgb="FFDADCE0"/>
      </x:top>
    </x:border>
    <x:border>
      <x:bottom style="thin">
        <x:color rgb="FFDADCE0"/>
      </x:bottom>
    </x:border>
    <x:border>
      <x:top style="thin">
        <x:color rgb="FFDADCE0"/>
      </x:top>
    </x:border>
    <x:border>
      <x:left style="thin">
        <x:color rgb="FFDADCE0"/>
      </x:left>
    </x:border>
    <x:border>
      <x:right style="thin">
        <x:color rgb="FFDADCE0"/>
      </x:right>
    </x:border>
    <x:border>
      <x:left style="thin">
        <x:color rgb="FFDADCE0"/>
      </x:left>
      <x:right style="thin">
        <x:color rgb="FFDADCE0"/>
      </x:right>
      <x:top style="thin">
        <x:color rgb="FFDADCE0"/>
      </x:top>
      <x:bottom style="thin">
        <x:color rgb="FFDADCE0"/>
      </x:bottom>
    </x:border>
    <x:border>
      <x:left style="thin">
        <x:color rgb="FFDADCE0"/>
      </x:left>
      <x:right style="thin">
        <x:color rgb="FFDADCE0"/>
      </x:right>
      <x:bottom style="thin">
        <x:color rgb="FFDADCE0"/>
      </x:bottom>
    </x:border>
    <x:border>
      <x:left style="thin">
        <x:color rgb="FFDADCE0"/>
      </x:left>
      <x:right style="thin">
        <x:color rgb="FFDADCE0"/>
      </x:right>
      <x:top style="thin">
        <x:color rgb="FFDADCE0"/>
      </x:top>
    </x:border>
  </x:borders>
  <x:cellStyleXfs count="1">
    <x:xf numFmtId="0" fontId="0" fillId="0" borderId="0"/>
  </x:cellStyleXfs>
  <x:cellXfs count="2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horizontal="center"/>
    </x:xf>
    <x:xf numFmtId="0" fontId="1" fillId="2" borderId="2" xfId="0" applyNumberFormat="1" applyFont="1" applyFill="1" applyBorder="1" applyAlignment="1">
      <x:alignment horizontal="center"/>
    </x:xf>
    <x:xf numFmtId="0" fontId="1" fillId="2" borderId="3"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0"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3" xfId="0" applyNumberFormat="1" applyFont="1" applyFill="1" applyBorder="1"/>
    <x:xf numFmtId="0" fontId="3" fillId="3" borderId="1"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0" fillId="4" borderId="0" xfId="0" applyNumberFormat="1" applyFont="1" applyFill="1" applyBorder="1"/>
    <x:xf numFmtId="0" fontId="0" fillId="4" borderId="8" xfId="0" applyNumberFormat="1" applyFont="1" applyFill="1" applyBorder="1"/>
    <x:xf numFmtId="0" fontId="0" fillId="4" borderId="2" xfId="0" applyNumberFormat="1" applyFont="1" applyFill="1" applyBorder="1"/>
    <x:xf numFmtId="0" fontId="0" fillId="4" borderId="9" xfId="0" applyNumberFormat="1" applyFont="1" applyFill="1" applyBorder="1"/>
    <x:xf numFmtId="0" fontId="0" fillId="4" borderId="8" xfId="0" applyNumberFormat="1" applyFont="1" applyFill="1" applyBorder="1" applyAlignment="1">
      <x:alignment wrapText="1"/>
    </x:xf>
    <x:xf numFmtId="0" fontId="0" fillId="4" borderId="2" xfId="0" applyNumberFormat="1" applyFont="1" applyFill="1" applyBorder="1" applyAlignment="1">
      <x:alignment wrapText="1"/>
    </x:xf>
    <x:xf numFmtId="0" fontId="0" fillId="4" borderId="9" xfId="0" applyNumberFormat="1" applyFont="1" applyFill="1" applyBorder="1" applyAlignment="1">
      <x:alignment wrapText="1"/>
    </x:xf>
    <x:xf numFmtId="0" fontId="0" fillId="4" borderId="8" xfId="0" applyNumberFormat="1" applyFont="1" applyFill="1" applyBorder="1" applyAlignment="1">
      <x:alignment vertical="center" wrapText="1"/>
    </x:xf>
    <x:xf numFmtId="0" fontId="0" fillId="4" borderId="2" xfId="0" applyNumberFormat="1" applyFont="1" applyFill="1" applyBorder="1" applyAlignment="1">
      <x:alignment vertical="center" wrapText="1"/>
    </x:xf>
    <x:xf numFmtId="0" fontId="0" fillId="4" borderId="9" xfId="0" applyNumberFormat="1" applyFont="1" applyFill="1" applyBorder="1" applyAlignment="1">
      <x:alignment vertical="center" wrapText="1"/>
    </x:xf>
    <x:xf numFmtId="200" fontId="0" fillId="4" borderId="2" xfId="0" applyNumberFormat="1" applyFont="1" applyFill="1" applyBorder="1" applyAlignment="1">
      <x:alignment vertical="center" wrapText="1"/>
    </x:xf>
    <x:xf numFmtId="201" fontId="0" fillId="4" borderId="9" xfId="0" applyNumberFormat="1" applyFont="1" applyFill="1" applyBorder="1" applyAlignment="1">
      <x:alignment vertical="center" wrapText="1"/>
    </x:xf>
    <x:xf numFmtId="0" fontId="3" fillId="3" borderId="2" xfId="0" applyNumberFormat="1" applyFont="1" applyFill="1" applyBorder="1"/>
    <x:xf numFmtId="0" fontId="3" fillId="3" borderId="1" xfId="0" applyNumberFormat="1" applyFont="1" applyFill="1" applyBorder="1" applyAlignment="1">
      <x:alignment vertical="center"/>
    </x:xf>
    <x:xf numFmtId="0" fontId="3" fillId="3" borderId="2" xfId="0" applyNumberFormat="1" applyFont="1" applyFill="1" applyBorder="1" applyAlignment="1">
      <x:alignment vertical="center"/>
    </x:xf>
    <x:xf numFmtId="0" fontId="3" fillId="3" borderId="3"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7" xfId="0" applyNumberFormat="1" applyFont="1" applyFill="1" applyBorder="1"/>
    <x:xf numFmtId="0" fontId="4" fillId="5" borderId="9" xfId="0" applyNumberFormat="1" applyFont="1" applyFill="1" applyBorder="1"/>
    <x:xf numFmtId="0" fontId="4" fillId="5" borderId="6" xfId="0" applyNumberFormat="1" applyFont="1" applyFill="1" applyBorder="1"/>
    <x:xf numFmtId="0" fontId="4" fillId="5" borderId="10" xfId="0" applyNumberFormat="1" applyFont="1" applyFill="1" applyBorder="1"/>
    <x:xf numFmtId="0" fontId="4" fillId="5" borderId="11" xfId="0" applyNumberFormat="1" applyFont="1" applyFill="1" applyBorder="1"/>
    <x:xf numFmtId="0" fontId="4" fillId="5" borderId="5" xfId="0" applyNumberFormat="1" applyFont="1" applyFill="1" applyBorder="1"/>
    <x:xf numFmtId="0" fontId="4" fillId="5" borderId="8" xfId="0" applyNumberFormat="1" applyFont="1" applyFill="1" applyBorder="1"/>
    <x:xf numFmtId="0" fontId="4" fillId="5" borderId="4" xfId="0" applyNumberFormat="1" applyFont="1" applyFill="1" applyBorder="1"/>
    <x:xf numFmtId="0" fontId="4" fillId="5" borderId="7"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7" xfId="0" applyNumberFormat="1" applyFont="1" applyFill="1" applyBorder="1" applyAlignment="1">
      <x:alignment vertical="center" wrapText="1"/>
    </x:xf>
    <x:xf numFmtId="0" fontId="4" fillId="5" borderId="9"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1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3" fillId="2" borderId="0" xfId="0" applyNumberFormat="1" applyFont="1" applyFill="1" applyBorder="1"/>
    <x:xf numFmtId="0" fontId="3" fillId="2" borderId="12" xfId="0" applyNumberFormat="1" applyFont="1" applyFill="1" applyBorder="1"/>
    <x:xf numFmtId="0" fontId="3" fillId="2" borderId="12" xfId="0" applyNumberFormat="1" applyFont="1" applyFill="1" applyBorder="1" applyAlignment="1">
      <x:alignment wrapText="1"/>
    </x:xf>
    <x:xf numFmtId="0" fontId="3" fillId="2" borderId="12" xfId="0" applyNumberFormat="1" applyFont="1" applyFill="1" applyBorder="1" applyAlignment="1">
      <x:alignment horizontal="center" wrapText="1"/>
    </x:xf>
    <x:xf numFmtId="0" fontId="3" fillId="2" borderId="12" xfId="0" applyNumberFormat="1" applyFont="1" applyFill="1" applyBorder="1" applyAlignment="1">
      <x:alignment horizontal="center" vertical="center" wrapText="1"/>
    </x:xf>
    <x:xf numFmtId="0" fontId="0" fillId="0" borderId="12" xfId="0" applyNumberFormat="1" applyFont="1" applyFill="1" applyBorder="1"/>
    <x:xf numFmtId="0" fontId="0" fillId="0" borderId="12" xfId="0" applyNumberFormat="1" applyFont="1" applyFill="1" applyBorder="1" applyAlignment="1">
      <x:alignment wrapText="1"/>
    </x:xf>
    <x:xf numFmtId="0" fontId="0" fillId="0" borderId="12" xfId="0" applyNumberFormat="1" applyFont="1" applyFill="1" applyBorder="1" applyAlignment="1">
      <x:alignment vertical="center" wrapText="1"/>
    </x:xf>
    <x:xf numFmtId="0" fontId="0" fillId="0" borderId="12" xfId="0" applyNumberFormat="1" applyFont="1" applyFill="1" applyBorder="1" applyAlignment="1">
      <x:alignment horizontal="center" vertical="center" wrapText="1"/>
    </x:xf>
    <x:xf numFmtId="202" fontId="0" fillId="0" borderId="12" xfId="0" applyNumberFormat="1" applyFont="1" applyFill="1" applyBorder="1" applyAlignment="1">
      <x:alignment vertical="center" wrapText="1"/>
    </x:xf>
    <x:xf numFmtId="0" fontId="3" fillId="3" borderId="12" xfId="0" applyNumberFormat="1" applyFont="1" applyFill="1" applyBorder="1"/>
    <x:xf numFmtId="0" fontId="3" fillId="3" borderId="12" xfId="0" applyNumberFormat="1" applyFont="1" applyFill="1" applyBorder="1" applyAlignment="1">
      <x:alignment vertical="center"/>
    </x:xf>
    <x:xf numFmtId="202" fontId="3" fillId="3" borderId="12" xfId="0" applyNumberFormat="1" applyFont="1" applyFill="1" applyBorder="1" applyAlignment="1">
      <x:alignment vertical="center"/>
    </x:xf>
    <x:xf numFmtId="0" fontId="5" fillId="5" borderId="0" xfId="0" applyNumberFormat="1" applyFont="1" applyFill="1" applyBorder="1"/>
    <x:xf numFmtId="0" fontId="5" fillId="5" borderId="7" xfId="0" applyNumberFormat="1" applyFont="1" applyFill="1" applyBorder="1"/>
    <x:xf numFmtId="0" fontId="5" fillId="5" borderId="9" xfId="0" applyNumberFormat="1" applyFont="1" applyFill="1" applyBorder="1"/>
    <x:xf numFmtId="0" fontId="5" fillId="5" borderId="6" xfId="0" applyNumberFormat="1" applyFont="1" applyFill="1" applyBorder="1"/>
    <x:xf numFmtId="0" fontId="5" fillId="5" borderId="10" xfId="0" applyNumberFormat="1" applyFont="1" applyFill="1" applyBorder="1"/>
    <x:xf numFmtId="0" fontId="5" fillId="5" borderId="11" xfId="0" applyNumberFormat="1" applyFont="1" applyFill="1" applyBorder="1"/>
    <x:xf numFmtId="0" fontId="5" fillId="5" borderId="5" xfId="0" applyNumberFormat="1" applyFont="1" applyFill="1" applyBorder="1"/>
    <x:xf numFmtId="0" fontId="5" fillId="5" borderId="8" xfId="0" applyNumberFormat="1" applyFont="1" applyFill="1" applyBorder="1"/>
    <x:xf numFmtId="0" fontId="5" fillId="5" borderId="4" xfId="0" applyNumberFormat="1" applyFont="1" applyFill="1" applyBorder="1"/>
    <x:xf numFmtId="0" fontId="5" fillId="5" borderId="7" xfId="0" applyNumberFormat="1" applyFont="1" applyFill="1" applyBorder="1" applyAlignment="1">
      <x:alignment horizontal="center"/>
    </x:xf>
    <x:xf numFmtId="0" fontId="5" fillId="5" borderId="9" xfId="0" applyNumberFormat="1" applyFont="1" applyFill="1" applyBorder="1" applyAlignment="1">
      <x:alignment horizontal="center"/>
    </x:xf>
    <x:xf numFmtId="0" fontId="5" fillId="5" borderId="6" xfId="0" applyNumberFormat="1" applyFont="1" applyFill="1" applyBorder="1" applyAlignment="1">
      <x:alignment horizontal="center"/>
    </x:xf>
    <x:xf numFmtId="0" fontId="5" fillId="5" borderId="10" xfId="0" applyNumberFormat="1" applyFont="1" applyFill="1" applyBorder="1" applyAlignment="1">
      <x:alignment horizontal="center"/>
    </x:xf>
    <x:xf numFmtId="0" fontId="5" fillId="5" borderId="0" xfId="0" applyNumberFormat="1" applyFont="1" applyFill="1" applyBorder="1" applyAlignment="1">
      <x:alignment horizontal="center"/>
    </x:xf>
    <x:xf numFmtId="0" fontId="5" fillId="5" borderId="11" xfId="0" applyNumberFormat="1" applyFont="1" applyFill="1" applyBorder="1" applyAlignment="1">
      <x:alignment horizontal="center"/>
    </x:xf>
    <x:xf numFmtId="0" fontId="5" fillId="5" borderId="5" xfId="0" applyNumberFormat="1" applyFont="1" applyFill="1" applyBorder="1" applyAlignment="1">
      <x:alignment horizontal="center"/>
    </x:xf>
    <x:xf numFmtId="0" fontId="5" fillId="5" borderId="8" xfId="0" applyNumberFormat="1" applyFont="1" applyFill="1" applyBorder="1" applyAlignment="1">
      <x:alignment horizontal="center"/>
    </x:xf>
    <x:xf numFmtId="0" fontId="5" fillId="5" borderId="4" xfId="0" applyNumberFormat="1" applyFont="1" applyFill="1" applyBorder="1" applyAlignment="1">
      <x:alignment horizontal="center"/>
    </x:xf>
    <x:xf numFmtId="0" fontId="5" fillId="5" borderId="7" xfId="0" applyNumberFormat="1" applyFont="1" applyFill="1" applyBorder="1" applyAlignment="1">
      <x:alignment horizontal="center" vertical="center"/>
    </x:xf>
    <x:xf numFmtId="0" fontId="5" fillId="5" borderId="9" xfId="0" applyNumberFormat="1" applyFont="1" applyFill="1" applyBorder="1" applyAlignment="1">
      <x:alignment horizontal="center" vertical="center"/>
    </x:xf>
    <x:xf numFmtId="0" fontId="5" fillId="5" borderId="6" xfId="0" applyNumberFormat="1" applyFont="1" applyFill="1" applyBorder="1" applyAlignment="1">
      <x:alignment horizontal="center" vertical="center"/>
    </x:xf>
    <x:xf numFmtId="0" fontId="5" fillId="5" borderId="10" xfId="0" applyNumberFormat="1" applyFont="1" applyFill="1" applyBorder="1" applyAlignment="1">
      <x:alignment horizontal="center" vertical="center"/>
    </x:xf>
    <x:xf numFmtId="0" fontId="5" fillId="5" borderId="0" xfId="0" applyNumberFormat="1" applyFont="1" applyFill="1" applyBorder="1" applyAlignment="1">
      <x:alignment horizontal="center" vertical="center"/>
    </x:xf>
    <x:xf numFmtId="0" fontId="5" fillId="5" borderId="11" xfId="0" applyNumberFormat="1" applyFont="1" applyFill="1" applyBorder="1" applyAlignment="1">
      <x:alignment horizontal="center" vertical="center"/>
    </x:xf>
    <x:xf numFmtId="0" fontId="5" fillId="5" borderId="5" xfId="0" applyNumberFormat="1" applyFont="1" applyFill="1" applyBorder="1" applyAlignment="1">
      <x:alignment horizontal="center" vertical="center"/>
    </x:xf>
    <x:xf numFmtId="0" fontId="5" fillId="5" borderId="8" xfId="0" applyNumberFormat="1" applyFont="1" applyFill="1" applyBorder="1" applyAlignment="1">
      <x:alignment horizontal="center" vertical="center"/>
    </x:xf>
    <x:xf numFmtId="0" fontId="5" fillId="5" borderId="4" xfId="0" applyNumberFormat="1" applyFont="1" applyFill="1" applyBorder="1" applyAlignment="1">
      <x:alignment horizontal="center" vertical="center"/>
    </x:xf>
    <x:xf numFmtId="0" fontId="1" fillId="5" borderId="10" xfId="0" applyNumberFormat="1" applyFont="1" applyFill="1" applyBorder="1" applyAlignment="1">
      <x:alignment horizontal="center" vertical="center"/>
    </x:xf>
    <x:xf numFmtId="0" fontId="1" fillId="5" borderId="0" xfId="0" applyNumberFormat="1" applyFont="1" applyFill="1" applyBorder="1" applyAlignment="1">
      <x:alignment horizontal="center" vertical="center"/>
    </x:xf>
    <x:xf numFmtId="0" fontId="1" fillId="5" borderId="11" xfId="0" applyNumberFormat="1" applyFont="1" applyFill="1" applyBorder="1" applyAlignment="1">
      <x:alignment horizontal="center" vertical="center"/>
    </x:xf>
    <x:xf numFmtId="0" fontId="1" fillId="5" borderId="5" xfId="0" applyNumberFormat="1" applyFont="1" applyFill="1" applyBorder="1" applyAlignment="1">
      <x:alignment horizontal="center" vertical="center"/>
    </x:xf>
    <x:xf numFmtId="0" fontId="1" fillId="5" borderId="8" xfId="0" applyNumberFormat="1" applyFont="1" applyFill="1" applyBorder="1" applyAlignment="1">
      <x:alignment horizontal="center" vertical="center"/>
    </x:xf>
    <x:xf numFmtId="0" fontId="1" fillId="5" borderId="4" xfId="0" applyNumberFormat="1" applyFont="1" applyFill="1" applyBorder="1" applyAlignment="1">
      <x:alignment horizontal="center" vertical="center"/>
    </x:xf>
    <x:xf numFmtId="202" fontId="1" fillId="5" borderId="10" xfId="0" applyNumberFormat="1" applyFont="1" applyFill="1" applyBorder="1" applyAlignment="1">
      <x:alignment horizontal="center" vertical="center"/>
    </x:xf>
    <x:xf numFmtId="202" fontId="1" fillId="5" borderId="0" xfId="0" applyNumberFormat="1" applyFont="1" applyFill="1" applyBorder="1" applyAlignment="1">
      <x:alignment horizontal="center" vertical="center"/>
    </x:xf>
    <x:xf numFmtId="202" fontId="1" fillId="5" borderId="11" xfId="0" applyNumberFormat="1" applyFont="1" applyFill="1" applyBorder="1" applyAlignment="1">
      <x:alignment horizontal="center" vertical="center"/>
    </x:xf>
    <x:xf numFmtId="202" fontId="1" fillId="5" borderId="5" xfId="0" applyNumberFormat="1" applyFont="1" applyFill="1" applyBorder="1" applyAlignment="1">
      <x:alignment horizontal="center" vertical="center"/>
    </x:xf>
    <x:xf numFmtId="202" fontId="1" fillId="5" borderId="8" xfId="0" applyNumberFormat="1" applyFont="1" applyFill="1" applyBorder="1" applyAlignment="1">
      <x:alignment horizontal="center" vertical="center"/>
    </x:xf>
    <x:xf numFmtId="202" fontId="1" fillId="5" borderId="4"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7" xfId="0" applyNumberFormat="1" applyFont="1" applyFill="1" applyBorder="1"/>
    <x:xf numFmtId="0" fontId="6" fillId="6" borderId="9" xfId="0" applyNumberFormat="1" applyFont="1" applyFill="1" applyBorder="1"/>
    <x:xf numFmtId="0" fontId="6" fillId="6" borderId="6"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5" xfId="0" applyNumberFormat="1" applyFont="1" applyFill="1" applyBorder="1"/>
    <x:xf numFmtId="0" fontId="6" fillId="6" borderId="8" xfId="0" applyNumberFormat="1" applyFont="1" applyFill="1" applyBorder="1"/>
    <x:xf numFmtId="0" fontId="6" fillId="6" borderId="4" xfId="0" applyNumberFormat="1" applyFont="1" applyFill="1" applyBorder="1"/>
    <x:xf numFmtId="0" fontId="6" fillId="6" borderId="7" xfId="0" applyNumberFormat="1" applyFont="1" applyFill="1" applyBorder="1" applyAlignment="1">
      <x:alignment horizontal="center"/>
    </x:xf>
    <x:xf numFmtId="0" fontId="6" fillId="6" borderId="9" xfId="0" applyNumberFormat="1" applyFont="1" applyFill="1" applyBorder="1" applyAlignment="1">
      <x:alignment horizontal="center"/>
    </x:xf>
    <x:xf numFmtId="0" fontId="6" fillId="6" borderId="6" xfId="0" applyNumberFormat="1" applyFont="1" applyFill="1" applyBorder="1" applyAlignment="1">
      <x:alignment horizontal="center"/>
    </x:xf>
    <x:xf numFmtId="0" fontId="6" fillId="6" borderId="10" xfId="0" applyNumberFormat="1" applyFont="1" applyFill="1" applyBorder="1" applyAlignment="1">
      <x:alignment horizontal="center"/>
    </x:xf>
    <x:xf numFmtId="0" fontId="6" fillId="6" borderId="0" xfId="0" applyNumberFormat="1" applyFont="1" applyFill="1" applyBorder="1" applyAlignment="1">
      <x:alignment horizontal="center"/>
    </x:xf>
    <x:xf numFmtId="0" fontId="6" fillId="6" borderId="11" xfId="0" applyNumberFormat="1" applyFont="1" applyFill="1" applyBorder="1" applyAlignment="1">
      <x:alignment horizontal="center"/>
    </x:xf>
    <x:xf numFmtId="0" fontId="6" fillId="6" borderId="5" xfId="0" applyNumberFormat="1" applyFont="1" applyFill="1" applyBorder="1" applyAlignment="1">
      <x:alignment horizontal="center"/>
    </x:xf>
    <x:xf numFmtId="0" fontId="6" fillId="6" borderId="8" xfId="0" applyNumberFormat="1" applyFont="1" applyFill="1" applyBorder="1" applyAlignment="1">
      <x:alignment horizontal="center"/>
    </x:xf>
    <x:xf numFmtId="0" fontId="6" fillId="6" borderId="4" xfId="0" applyNumberFormat="1" applyFont="1" applyFill="1" applyBorder="1" applyAlignment="1">
      <x:alignment horizontal="center"/>
    </x:xf>
    <x:xf numFmtId="0" fontId="6" fillId="6" borderId="7" xfId="0" applyNumberFormat="1" applyFont="1" applyFill="1" applyBorder="1" applyAlignment="1">
      <x:alignment horizontal="center" vertical="center"/>
    </x:xf>
    <x:xf numFmtId="0" fontId="6" fillId="6" borderId="9" xfId="0" applyNumberFormat="1" applyFont="1" applyFill="1" applyBorder="1" applyAlignment="1">
      <x:alignment horizontal="center" vertical="center"/>
    </x:xf>
    <x:xf numFmtId="0" fontId="6" fillId="6" borderId="6" xfId="0" applyNumberFormat="1" applyFont="1" applyFill="1" applyBorder="1" applyAlignment="1">
      <x:alignment horizontal="center" vertical="center"/>
    </x:xf>
    <x:xf numFmtId="0" fontId="6" fillId="6" borderId="10" xfId="0" applyNumberFormat="1" applyFont="1" applyFill="1" applyBorder="1" applyAlignment="1">
      <x:alignment horizontal="center" vertical="center"/>
    </x:xf>
    <x:xf numFmtId="0" fontId="6" fillId="6" borderId="0" xfId="0" applyNumberFormat="1" applyFont="1" applyFill="1" applyBorder="1" applyAlignment="1">
      <x:alignment horizontal="center" vertical="center"/>
    </x:xf>
    <x:xf numFmtId="0" fontId="6" fillId="6" borderId="11"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0" fontId="6" fillId="6" borderId="8"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0" fontId="7" fillId="6" borderId="10" xfId="0" applyNumberFormat="1" applyFont="1" applyFill="1" applyBorder="1" applyAlignment="1">
      <x:alignment horizontal="center" vertical="center"/>
    </x:xf>
    <x:xf numFmtId="0" fontId="7" fillId="6" borderId="0" xfId="0" applyNumberFormat="1" applyFont="1" applyFill="1" applyBorder="1" applyAlignment="1">
      <x:alignment horizontal="center" vertical="center"/>
    </x:xf>
    <x:xf numFmtId="0" fontId="7" fillId="6" borderId="11" xfId="0" applyNumberFormat="1" applyFont="1" applyFill="1" applyBorder="1" applyAlignment="1">
      <x:alignment horizontal="center" vertical="center"/>
    </x:xf>
    <x:xf numFmtId="0" fontId="7" fillId="6" borderId="5" xfId="0" applyNumberFormat="1" applyFont="1" applyFill="1" applyBorder="1" applyAlignment="1">
      <x:alignment horizontal="center" vertical="center"/>
    </x:xf>
    <x:xf numFmtId="0" fontId="7" fillId="6" borderId="8" xfId="0" applyNumberFormat="1" applyFont="1" applyFill="1" applyBorder="1" applyAlignment="1">
      <x:alignment horizontal="center" vertical="center"/>
    </x:xf>
    <x:xf numFmtId="0" fontId="7" fillId="6" borderId="4" xfId="0" applyNumberFormat="1" applyFont="1" applyFill="1" applyBorder="1" applyAlignment="1">
      <x:alignment horizontal="center" vertical="center"/>
    </x:xf>
    <x:xf numFmtId="202" fontId="7" fillId="6" borderId="10" xfId="0" applyNumberFormat="1" applyFont="1" applyFill="1" applyBorder="1" applyAlignment="1">
      <x:alignment horizontal="center" vertical="center"/>
    </x:xf>
    <x:xf numFmtId="202" fontId="7" fillId="6" borderId="0" xfId="0" applyNumberFormat="1" applyFont="1" applyFill="1" applyBorder="1" applyAlignment="1">
      <x:alignment horizontal="center" vertical="center"/>
    </x:xf>
    <x:xf numFmtId="202" fontId="7" fillId="6" borderId="11" xfId="0" applyNumberFormat="1" applyFont="1" applyFill="1" applyBorder="1" applyAlignment="1">
      <x:alignment horizontal="center" vertical="center"/>
    </x:xf>
    <x:xf numFmtId="202" fontId="7" fillId="6" borderId="5" xfId="0" applyNumberFormat="1" applyFont="1" applyFill="1" applyBorder="1" applyAlignment="1">
      <x:alignment horizontal="center" vertical="center"/>
    </x:xf>
    <x:xf numFmtId="202" fontId="7" fillId="6" borderId="8" xfId="0" applyNumberFormat="1" applyFont="1" applyFill="1" applyBorder="1" applyAlignment="1">
      <x:alignment horizontal="center" vertical="center"/>
    </x:xf>
    <x:xf numFmtId="202" fontId="7" fillId="6" borderId="4" xfId="0" applyNumberFormat="1" applyFont="1" applyFill="1" applyBorder="1" applyAlignment="1">
      <x:alignment horizontal="center" vertical="center"/>
    </x:xf>
    <x:xf numFmtId="0" fontId="0" fillId="7" borderId="0" xfId="0" applyNumberFormat="1" applyFont="1" applyFill="1" applyBorder="1"/>
    <x:xf numFmtId="0" fontId="8" fillId="7" borderId="0" xfId="0" applyNumberFormat="1" applyFont="1" applyFill="1" applyBorder="1"/>
    <x:xf numFmtId="0" fontId="8" fillId="7" borderId="7" xfId="0" applyNumberFormat="1" applyFont="1" applyFill="1" applyBorder="1"/>
    <x:xf numFmtId="0" fontId="8" fillId="7" borderId="9" xfId="0" applyNumberFormat="1" applyFont="1" applyFill="1" applyBorder="1"/>
    <x:xf numFmtId="0" fontId="8" fillId="7" borderId="6" xfId="0" applyNumberFormat="1" applyFont="1" applyFill="1" applyBorder="1"/>
    <x:xf numFmtId="0" fontId="8" fillId="7" borderId="10" xfId="0" applyNumberFormat="1" applyFont="1" applyFill="1" applyBorder="1"/>
    <x:xf numFmtId="0" fontId="8" fillId="7" borderId="11" xfId="0" applyNumberFormat="1" applyFont="1" applyFill="1" applyBorder="1"/>
    <x:xf numFmtId="0" fontId="8" fillId="7" borderId="5" xfId="0" applyNumberFormat="1" applyFont="1" applyFill="1" applyBorder="1"/>
    <x:xf numFmtId="0" fontId="8" fillId="7" borderId="8" xfId="0" applyNumberFormat="1" applyFont="1" applyFill="1" applyBorder="1"/>
    <x:xf numFmtId="0" fontId="8" fillId="7" borderId="4" xfId="0" applyNumberFormat="1" applyFont="1" applyFill="1" applyBorder="1"/>
    <x:xf numFmtId="0" fontId="8" fillId="7" borderId="7" xfId="0" applyNumberFormat="1" applyFont="1" applyFill="1" applyBorder="1" applyAlignment="1">
      <x:alignment horizontal="center"/>
    </x:xf>
    <x:xf numFmtId="0" fontId="8" fillId="7" borderId="9" xfId="0" applyNumberFormat="1" applyFont="1" applyFill="1" applyBorder="1" applyAlignment="1">
      <x:alignment horizontal="center"/>
    </x:xf>
    <x:xf numFmtId="0" fontId="8" fillId="7" borderId="6" xfId="0" applyNumberFormat="1" applyFont="1" applyFill="1" applyBorder="1" applyAlignment="1">
      <x:alignment horizontal="center"/>
    </x:xf>
    <x:xf numFmtId="0" fontId="8" fillId="7" borderId="10" xfId="0" applyNumberFormat="1" applyFont="1" applyFill="1" applyBorder="1" applyAlignment="1">
      <x:alignment horizontal="center"/>
    </x:xf>
    <x:xf numFmtId="0" fontId="8" fillId="7" borderId="0" xfId="0" applyNumberFormat="1" applyFont="1" applyFill="1" applyBorder="1" applyAlignment="1">
      <x:alignment horizontal="center"/>
    </x:xf>
    <x:xf numFmtId="0" fontId="8" fillId="7" borderId="11" xfId="0" applyNumberFormat="1" applyFont="1" applyFill="1" applyBorder="1" applyAlignment="1">
      <x:alignment horizontal="center"/>
    </x:xf>
    <x:xf numFmtId="0" fontId="8" fillId="7" borderId="5" xfId="0" applyNumberFormat="1" applyFont="1" applyFill="1" applyBorder="1" applyAlignment="1">
      <x:alignment horizontal="center"/>
    </x:xf>
    <x:xf numFmtId="0" fontId="8" fillId="7" borderId="8" xfId="0" applyNumberFormat="1" applyFont="1" applyFill="1" applyBorder="1" applyAlignment="1">
      <x:alignment horizontal="center"/>
    </x:xf>
    <x:xf numFmtId="0" fontId="8" fillId="7" borderId="4" xfId="0" applyNumberFormat="1" applyFont="1" applyFill="1" applyBorder="1" applyAlignment="1">
      <x:alignment horizontal="center"/>
    </x:xf>
    <x:xf numFmtId="0" fontId="8" fillId="7" borderId="7" xfId="0" applyNumberFormat="1" applyFont="1" applyFill="1" applyBorder="1" applyAlignment="1">
      <x:alignment horizontal="center" vertical="center"/>
    </x:xf>
    <x:xf numFmtId="0" fontId="8" fillId="7" borderId="9" xfId="0" applyNumberFormat="1" applyFont="1" applyFill="1" applyBorder="1" applyAlignment="1">
      <x:alignment horizontal="center" vertical="center"/>
    </x:xf>
    <x:xf numFmtId="0" fontId="8" fillId="7" borderId="6" xfId="0" applyNumberFormat="1" applyFont="1" applyFill="1" applyBorder="1" applyAlignment="1">
      <x:alignment horizontal="center" vertical="center"/>
    </x:xf>
    <x:xf numFmtId="0" fontId="8" fillId="7" borderId="10" xfId="0" applyNumberFormat="1" applyFont="1" applyFill="1" applyBorder="1" applyAlignment="1">
      <x:alignment horizontal="center" vertical="center"/>
    </x:xf>
    <x:xf numFmtId="0" fontId="8" fillId="7" borderId="0" xfId="0" applyNumberFormat="1" applyFont="1" applyFill="1" applyBorder="1" applyAlignment="1">
      <x:alignment horizontal="center" vertical="center"/>
    </x:xf>
    <x:xf numFmtId="0" fontId="8" fillId="7" borderId="11" xfId="0" applyNumberFormat="1" applyFont="1" applyFill="1" applyBorder="1" applyAlignment="1">
      <x:alignment horizontal="center" vertical="center"/>
    </x:xf>
    <x:xf numFmtId="0" fontId="8" fillId="7" borderId="5" xfId="0" applyNumberFormat="1" applyFont="1" applyFill="1" applyBorder="1" applyAlignment="1">
      <x:alignment horizontal="center" vertical="center"/>
    </x:xf>
    <x:xf numFmtId="0" fontId="8" fillId="7" borderId="8" xfId="0" applyNumberFormat="1" applyFont="1" applyFill="1" applyBorder="1" applyAlignment="1">
      <x:alignment horizontal="center" vertical="center"/>
    </x:xf>
    <x:xf numFmtId="0" fontId="8" fillId="7" borderId="4" xfId="0" applyNumberFormat="1" applyFont="1" applyFill="1" applyBorder="1" applyAlignment="1">
      <x:alignment horizontal="center" vertical="center"/>
    </x:xf>
    <x:xf numFmtId="0" fontId="9" fillId="7" borderId="10" xfId="0" applyNumberFormat="1" applyFont="1" applyFill="1" applyBorder="1" applyAlignment="1">
      <x:alignment horizontal="center" vertical="center"/>
    </x:xf>
    <x:xf numFmtId="0" fontId="9" fillId="7" borderId="0" xfId="0" applyNumberFormat="1" applyFont="1" applyFill="1" applyBorder="1" applyAlignment="1">
      <x:alignment horizontal="center" vertical="center"/>
    </x:xf>
    <x:xf numFmtId="0" fontId="9" fillId="7" borderId="11" xfId="0" applyNumberFormat="1" applyFont="1" applyFill="1" applyBorder="1" applyAlignment="1">
      <x:alignment horizontal="center" vertical="center"/>
    </x:xf>
    <x:xf numFmtId="0" fontId="9" fillId="7" borderId="5" xfId="0" applyNumberFormat="1" applyFont="1" applyFill="1" applyBorder="1" applyAlignment="1">
      <x:alignment horizontal="center" vertical="center"/>
    </x:xf>
    <x:xf numFmtId="0" fontId="9" fillId="7" borderId="8" xfId="0" applyNumberFormat="1" applyFont="1" applyFill="1" applyBorder="1" applyAlignment="1">
      <x:alignment horizontal="center" vertical="center"/>
    </x:xf>
    <x:xf numFmtId="0" fontId="9" fillId="7" borderId="4" xfId="0" applyNumberFormat="1" applyFont="1" applyFill="1" applyBorder="1" applyAlignment="1">
      <x:alignment horizontal="center" vertical="center"/>
    </x:xf>
    <x:xf numFmtId="202" fontId="9" fillId="7" borderId="10" xfId="0" applyNumberFormat="1" applyFont="1" applyFill="1" applyBorder="1" applyAlignment="1">
      <x:alignment horizontal="center" vertical="center"/>
    </x:xf>
    <x:xf numFmtId="202" fontId="9" fillId="7" borderId="0" xfId="0" applyNumberFormat="1" applyFont="1" applyFill="1" applyBorder="1" applyAlignment="1">
      <x:alignment horizontal="center" vertical="center"/>
    </x:xf>
    <x:xf numFmtId="202" fontId="9" fillId="7" borderId="11" xfId="0" applyNumberFormat="1" applyFont="1" applyFill="1" applyBorder="1" applyAlignment="1">
      <x:alignment horizontal="center" vertical="center"/>
    </x:xf>
    <x:xf numFmtId="202" fontId="9" fillId="7" borderId="5" xfId="0" applyNumberFormat="1" applyFont="1" applyFill="1" applyBorder="1" applyAlignment="1">
      <x:alignment horizontal="center" vertical="center"/>
    </x:xf>
    <x:xf numFmtId="202" fontId="9" fillId="7" borderId="8" xfId="0" applyNumberFormat="1" applyFont="1" applyFill="1" applyBorder="1" applyAlignment="1">
      <x:alignment horizontal="center" vertical="center"/>
    </x:xf>
    <x:xf numFmtId="202" fontId="9" fillId="7" borderId="4" xfId="0" applyNumberFormat="1" applyFont="1" applyFill="1" applyBorder="1" applyAlignment="1">
      <x:alignment horizontal="center" vertical="center"/>
    </x:xf>
    <x:xf numFmtId="0" fontId="0" fillId="0" borderId="12" xfId="0" applyNumberFormat="1" applyFont="1" applyFill="1" applyBorder="1" applyAlignment="1">
      <x:alignment vertical="center"/>
    </x:xf>
    <x:xf numFmtId="0" fontId="0" fillId="5" borderId="12" xfId="0" applyNumberFormat="1" applyFont="1" applyFill="1" applyBorder="1" applyAlignment="1">
      <x:alignment vertical="center"/>
    </x:xf>
    <x:xf numFmtId="0" fontId="3" fillId="5" borderId="12" xfId="0" applyNumberFormat="1" applyFont="1" applyFill="1" applyBorder="1" applyAlignment="1">
      <x:alignment vertical="center"/>
    </x:xf>
    <x:xf numFmtId="0" fontId="3" fillId="5" borderId="12" xfId="0" applyNumberFormat="1" applyFont="1" applyFill="1" applyBorder="1" applyAlignment="1">
      <x:alignment vertical="center" wrapText="1"/>
    </x:xf>
    <x:xf numFmtId="0" fontId="0" fillId="8" borderId="12" xfId="0" applyNumberFormat="1" applyFont="1" applyFill="1" applyBorder="1" applyAlignment="1">
      <x:alignment vertical="center"/>
    </x:xf>
    <x:xf numFmtId="201" fontId="0" fillId="8" borderId="12" xfId="0" applyNumberFormat="1" applyFont="1" applyFill="1" applyBorder="1" applyAlignment="1">
      <x:alignment vertical="center"/>
    </x:xf>
    <x:xf numFmtId="202" fontId="0" fillId="0" borderId="12" xfId="0" applyNumberFormat="1" applyFont="1" applyFill="1" applyBorder="1" applyAlignment="1">
      <x:alignment vertical="center"/>
    </x:xf>
    <x:xf numFmtId="202" fontId="0" fillId="6" borderId="12" xfId="0" applyNumberFormat="1" applyFont="1" applyFill="1" applyBorder="1" applyAlignment="1">
      <x:alignment vertical="center"/>
    </x:xf>
    <x:xf numFmtId="202" fontId="6" fillId="6" borderId="12" xfId="0" applyNumberFormat="1" applyFont="1" applyFill="1" applyBorder="1" applyAlignment="1">
      <x:alignment vertical="center"/>
    </x:xf>
    <x:xf numFmtId="0" fontId="4" fillId="7" borderId="0" xfId="0" applyNumberFormat="1" applyFont="1" applyFill="1" applyBorder="1"/>
    <x:xf numFmtId="0" fontId="4" fillId="7" borderId="7" xfId="0" applyNumberFormat="1" applyFont="1" applyFill="1" applyBorder="1"/>
    <x:xf numFmtId="0" fontId="4" fillId="7" borderId="9" xfId="0" applyNumberFormat="1" applyFont="1" applyFill="1" applyBorder="1"/>
    <x:xf numFmtId="0" fontId="4" fillId="7" borderId="6" xfId="0" applyNumberFormat="1" applyFont="1" applyFill="1" applyBorder="1"/>
    <x:xf numFmtId="0" fontId="4" fillId="7" borderId="10" xfId="0" applyNumberFormat="1" applyFont="1" applyFill="1" applyBorder="1"/>
    <x:xf numFmtId="0" fontId="4" fillId="7" borderId="11" xfId="0" applyNumberFormat="1" applyFont="1" applyFill="1" applyBorder="1"/>
    <x:xf numFmtId="0" fontId="4" fillId="7" borderId="5" xfId="0" applyNumberFormat="1" applyFont="1" applyFill="1" applyBorder="1"/>
    <x:xf numFmtId="0" fontId="4" fillId="7" borderId="8" xfId="0" applyNumberFormat="1" applyFont="1" applyFill="1" applyBorder="1"/>
    <x:xf numFmtId="0" fontId="4" fillId="7" borderId="4" xfId="0" applyNumberFormat="1" applyFont="1" applyFill="1" applyBorder="1"/>
    <x:xf numFmtId="0" fontId="4" fillId="7" borderId="7" xfId="0" applyNumberFormat="1" applyFont="1" applyFill="1" applyBorder="1" applyAlignment="1">
      <x:alignment wrapText="1"/>
    </x:xf>
    <x:xf numFmtId="0" fontId="4" fillId="7" borderId="9" xfId="0" applyNumberFormat="1" applyFont="1" applyFill="1" applyBorder="1" applyAlignment="1">
      <x:alignment wrapText="1"/>
    </x:xf>
    <x:xf numFmtId="0" fontId="4" fillId="7" borderId="6" xfId="0" applyNumberFormat="1" applyFont="1" applyFill="1" applyBorder="1" applyAlignment="1">
      <x:alignment wrapText="1"/>
    </x:xf>
    <x:xf numFmtId="0" fontId="4" fillId="7" borderId="10" xfId="0" applyNumberFormat="1" applyFont="1" applyFill="1" applyBorder="1" applyAlignment="1">
      <x:alignment wrapText="1"/>
    </x:xf>
    <x:xf numFmtId="0" fontId="4" fillId="7" borderId="0" xfId="0" applyNumberFormat="1" applyFont="1" applyFill="1" applyBorder="1" applyAlignment="1">
      <x:alignment wrapText="1"/>
    </x:xf>
    <x:xf numFmtId="0" fontId="4" fillId="7" borderId="11" xfId="0" applyNumberFormat="1" applyFont="1" applyFill="1" applyBorder="1" applyAlignment="1">
      <x:alignment wrapText="1"/>
    </x:xf>
    <x:xf numFmtId="0" fontId="4" fillId="7" borderId="5" xfId="0" applyNumberFormat="1" applyFont="1" applyFill="1" applyBorder="1" applyAlignment="1">
      <x:alignment wrapText="1"/>
    </x:xf>
    <x:xf numFmtId="0" fontId="4" fillId="7" borderId="8" xfId="0" applyNumberFormat="1" applyFont="1" applyFill="1" applyBorder="1" applyAlignment="1">
      <x:alignment wrapText="1"/>
    </x:xf>
    <x:xf numFmtId="0" fontId="4" fillId="7" borderId="4" xfId="0" applyNumberFormat="1" applyFont="1" applyFill="1" applyBorder="1" applyAlignment="1">
      <x:alignment wrapText="1"/>
    </x:xf>
    <x:xf numFmtId="0" fontId="4" fillId="7" borderId="7" xfId="0" applyNumberFormat="1" applyFont="1" applyFill="1" applyBorder="1" applyAlignment="1">
      <x:alignment vertical="center" wrapText="1"/>
    </x:xf>
    <x:xf numFmtId="0" fontId="4" fillId="7" borderId="9" xfId="0" applyNumberFormat="1" applyFont="1" applyFill="1" applyBorder="1" applyAlignment="1">
      <x:alignment vertical="center" wrapText="1"/>
    </x:xf>
    <x:xf numFmtId="0" fontId="4" fillId="7" borderId="6" xfId="0" applyNumberFormat="1" applyFont="1" applyFill="1" applyBorder="1" applyAlignment="1">
      <x:alignment vertical="center" wrapText="1"/>
    </x:xf>
    <x:xf numFmtId="0" fontId="4" fillId="7" borderId="10"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4" fillId="7" borderId="11" xfId="0" applyNumberFormat="1" applyFont="1" applyFill="1" applyBorder="1" applyAlignment="1">
      <x:alignment vertical="center" wrapText="1"/>
    </x:xf>
    <x:xf numFmtId="0" fontId="4" fillId="7" borderId="5" xfId="0" applyNumberFormat="1" applyFont="1" applyFill="1" applyBorder="1" applyAlignment="1">
      <x:alignment vertical="center" wrapText="1"/>
    </x:xf>
    <x:xf numFmtId="0" fontId="4" fillId="7" borderId="8" xfId="0" applyNumberFormat="1" applyFont="1" applyFill="1" applyBorder="1" applyAlignment="1">
      <x:alignment vertical="center" wrapText="1"/>
    </x:xf>
    <x:xf numFmtId="0" fontId="4" fillId="7" borderId="4" xfId="0" applyNumberFormat="1" applyFont="1" applyFill="1" applyBorder="1" applyAlignment="1">
      <x:alignment vertical="center" wrapText="1"/>
    </x:xf>
    <x:xf numFmtId="0" fontId="0" fillId="3" borderId="12" xfId="0" applyNumberFormat="1" applyFont="1" applyFill="1" applyBorder="1" applyAlignment="1">
      <x:alignment vertical="center"/>
    </x:xf>
    <x:xf numFmtId="0" fontId="10" fillId="3" borderId="12" xfId="0" applyNumberFormat="1" applyFont="1" applyFill="1" applyBorder="1" applyAlignment="1">
      <x:alignment vertical="center"/>
    </x:xf>
    <x:xf numFmtId="0" fontId="10" fillId="8" borderId="12" xfId="0" applyNumberFormat="1" applyFont="1" applyFill="1" applyBorder="1" applyAlignment="1">
      <x:alignment vertical="center"/>
    </x:xf>
    <x:xf numFmtId="0" fontId="0" fillId="0" borderId="4" xfId="0" applyNumberFormat="1" applyFont="1" applyFill="1" applyBorder="1"/>
    <x:xf numFmtId="0" fontId="0" fillId="0" borderId="13" xfId="0" applyNumberFormat="1" applyFont="1" applyFill="1" applyBorder="1"/>
    <x:xf numFmtId="0" fontId="0" fillId="0" borderId="5" xfId="0" applyNumberFormat="1" applyFont="1" applyFill="1" applyBorder="1"/>
    <x:xf numFmtId="0" fontId="0" fillId="0" borderId="3" xfId="0" applyNumberFormat="1" applyFont="1" applyFill="1" applyBorder="1"/>
    <x:xf numFmtId="0" fontId="0" fillId="0" borderId="1" xfId="0" applyNumberFormat="1" applyFont="1" applyFill="1" applyBorder="1"/>
    <x:xf numFmtId="0" fontId="0" fillId="0" borderId="6" xfId="0" applyNumberFormat="1" applyFont="1" applyFill="1" applyBorder="1"/>
    <x:xf numFmtId="0" fontId="0" fillId="0" borderId="14" xfId="0" applyNumberFormat="1" applyFont="1" applyFill="1" applyBorder="1"/>
    <x:xf numFmtId="0" fontId="0" fillId="0" borderId="7" xfId="0" applyNumberFormat="1" applyFont="1" applyFill="1" applyBorder="1"/>
    <x:xf numFmtId="0" fontId="0" fillId="0" borderId="4"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5" fillId="0" borderId="4"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0" fontId="5" fillId="0" borderId="6" xfId="0" applyNumberFormat="1" applyFont="1" applyFill="1" applyBorder="1" applyAlignment="1">
      <x:alignment vertical="center" wrapText="1"/>
    </x:xf>
    <x:xf numFmtId="0" fontId="5" fillId="0" borderId="4" xfId="0" applyNumberFormat="1" applyFont="1" applyFill="1" applyBorder="1" applyAlignment="1">
      <x:alignment horizontal="center" vertical="center" wrapText="1"/>
    </x:xf>
    <x:xf numFmtId="0" fontId="5" fillId="0" borderId="3" xfId="0" applyNumberFormat="1" applyFont="1" applyFill="1" applyBorder="1" applyAlignment="1">
      <x:alignment horizontal="center" vertical="center" wrapText="1"/>
    </x:xf>
    <x:xf numFmtId="0" fontId="5" fillId="0" borderId="6" xfId="0" applyNumberFormat="1" applyFont="1" applyFill="1" applyBorder="1" applyAlignment="1">
      <x:alignment horizontal="center" vertical="center" wrapText="1"/>
    </x:xf>
    <x:xf numFmtId="0" fontId="11" fillId="2" borderId="0" xfId="0" applyNumberFormat="1" applyFont="1" applyFill="1" applyBorder="1"/>
    <x:xf numFmtId="0" fontId="11" fillId="2" borderId="1" xfId="0" applyNumberFormat="1" applyFont="1" applyFill="1" applyBorder="1"/>
    <x:xf numFmtId="0" fontId="11" fillId="2" borderId="2" xfId="0" applyNumberFormat="1" applyFont="1" applyFill="1" applyBorder="1"/>
    <x:xf numFmtId="0" fontId="11" fillId="2" borderId="3" xfId="0" applyNumberFormat="1" applyFont="1" applyFill="1" applyBorder="1"/>
    <x:xf numFmtId="0" fontId="11" fillId="2" borderId="1" xfId="0" applyNumberFormat="1" applyFont="1" applyFill="1" applyBorder="1" applyAlignment="1">
      <x:alignment horizontal="center"/>
    </x:xf>
    <x:xf numFmtId="0" fontId="11" fillId="2" borderId="2" xfId="0" applyNumberFormat="1" applyFont="1" applyFill="1" applyBorder="1" applyAlignment="1">
      <x:alignment horizontal="center"/>
    </x:xf>
    <x:xf numFmtId="0" fontId="11" fillId="2" borderId="3" xfId="0" applyNumberFormat="1" applyFont="1" applyFill="1" applyBorder="1" applyAlignment="1">
      <x:alignment horizontal="center"/>
    </x:xf>
    <x:xf numFmtId="0" fontId="11" fillId="2" borderId="1" xfId="0" applyNumberFormat="1" applyFont="1" applyFill="1" applyBorder="1" applyAlignment="1">
      <x:alignment horizontal="center" vertical="center"/>
    </x:xf>
    <x:xf numFmtId="0" fontId="11" fillId="2" borderId="2" xfId="0" applyNumberFormat="1" applyFont="1" applyFill="1" applyBorder="1" applyAlignment="1">
      <x:alignment horizontal="center" vertical="center"/>
    </x:xf>
    <x:xf numFmtId="0" fontId="11" fillId="2" borderId="3" xfId="0" applyNumberFormat="1" applyFont="1" applyFill="1" applyBorder="1" applyAlignment="1">
      <x:alignment horizontal="center" vertical="center"/>
    </x:xf>
    <x:xf numFmtId="0" fontId="0" fillId="5" borderId="12" xfId="0" applyNumberFormat="1" applyFont="1" applyFill="1" applyBorder="1" applyAlignment="1">
      <x:alignment vertical="center" wrapText="1"/>
    </x:xf>
    <x:xf numFmtId="0" fontId="0" fillId="6" borderId="12" xfId="0" applyNumberFormat="1" applyFont="1" applyFill="1" applyBorder="1" applyAlignment="1">
      <x:alignment vertical="center" wrapText="1"/>
    </x:xf>
    <x:xf numFmtId="0" fontId="3" fillId="6" borderId="1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9c8083b93543f2" /><Relationship Type="http://schemas.openxmlformats.org/officeDocument/2006/relationships/theme" Target="/xl/theme/theme1.xml" Id="R290434285d4840d3" /><Relationship Type="http://schemas.openxmlformats.org/officeDocument/2006/relationships/sharedStrings" Target="/xl/sharedStrings.xml" Id="Ra41864785a494559" /><Relationship Type="http://schemas.openxmlformats.org/officeDocument/2006/relationships/worksheet" Target="/xl/worksheets/sheet1.xml" Id="Rdd91f9a793dc4f7a" /><Relationship Type="http://schemas.openxmlformats.org/officeDocument/2006/relationships/worksheet" Target="/xl/worksheets/sheet2.xml" Id="R7df03df177794c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20" hidden="0" customWidth="1"/>
    <x:col min="3" max="3" width="17" hidden="0" customWidth="1"/>
    <x:col min="4" max="4" width="29" hidden="0" customWidth="1"/>
    <x:col min="5" max="5" width="12" hidden="0" customWidth="1"/>
    <x:col min="6" max="6" width="18" hidden="0" customWidth="1"/>
    <x:col min="7" max="7" width="19" hidden="0" customWidth="1"/>
    <x:col min="8" max="8" width="18" hidden="0" customWidth="1"/>
    <x:col min="9" max="9" width="15" hidden="0" customWidth="1"/>
    <x:col min="10" max="10" width="19" hidden="0" customWidth="1"/>
    <x:col min="11" max="11" width="31" hidden="0" customWidth="1"/>
  </x:cols>
  <x:sheetData>
    <x:row r="1" ht="34" customHeight="1">
      <x:c r="A1" s="9" t="str">
        <x:v>ĐỀ NGHỊ MUA DỊCH VỤ HẠ TẦNG VIETNIX</x:v>
      </x:c>
      <x:c r="B1" s="10"/>
      <x:c r="C1" s="10"/>
      <x:c r="D1" s="10"/>
      <x:c r="E1" s="10"/>
      <x:c r="F1" s="10"/>
      <x:c r="G1" s="10"/>
      <x:c r="H1" s="10"/>
      <x:c r="I1" s="10"/>
      <x:c r="J1" s="10"/>
      <x:c r="K1" s="11"/>
    </x:row>
    <x:row r="2" ht="22" customHeight="1">
      <x:c r="A2" s="14" t="str">
        <x:v>VPS NVMe 4 + S3 Basic 100GB | Chu kỳ 12 tháng | Phục vụ triển khai Consflow</x:v>
      </x:c>
      <x:c r="B2" s="14"/>
      <x:c r="C2" s="14"/>
      <x:c r="D2" s="14"/>
      <x:c r="E2" s="14"/>
      <x:c r="F2" s="14"/>
      <x:c r="G2" s="14"/>
      <x:c r="H2" s="14"/>
      <x:c r="I2" s="14"/>
      <x:c r="J2" s="14"/>
      <x:c r="K2" s="14"/>
    </x:row>
    <x:row r="4" ht="24" customHeight="1">
      <x:c r="A4" s="17" t="str">
        <x:v>Nhà cung cấp</x:v>
      </x:c>
      <x:c r="B4" s="18" t="str"/>
      <x:c r="C4" s="30" t="str">
        <x:v>Vietnix</x:v>
      </x:c>
      <x:c r="D4" s="36" t="str">
        <x:v>Phạm vi dự toán</x:v>
      </x:c>
      <x:c r="E4" s="37"/>
      <x:c r="F4" s="37"/>
      <x:c r="G4" s="37"/>
      <x:c r="H4" s="37"/>
      <x:c r="I4" s="37"/>
      <x:c r="J4" s="37"/>
      <x:c r="K4" s="38"/>
    </x:row>
    <x:row r="5" ht="24" customHeight="1">
      <x:c r="A5" s="19" t="str">
        <x:v>Ngày lập</x:v>
      </x:c>
      <x:c r="B5" s="20" t="str"/>
      <x:c r="C5" s="33" t="n">
        <x:v>46221</x:v>
      </x:c>
      <x:c r="D5" s="58" t="str">
        <x:v>Dự toán gồm đúng 2 dịch vụ: VPS NVMe 4 và S3 Basic 100GB, cùng chu kỳ 12 tháng. Tổng ngân sách chưa trừ mã DE08; kế toán kiểm tra mã tại bước checkout và thanh toán theo số thực tế, không vượt mức ngân sách tối đa trong bảng.</x:v>
      </x:c>
      <x:c r="E5" s="59"/>
      <x:c r="F5" s="59"/>
      <x:c r="G5" s="59"/>
      <x:c r="H5" s="59"/>
      <x:c r="I5" s="59"/>
      <x:c r="J5" s="59"/>
      <x:c r="K5" s="60"/>
    </x:row>
    <x:row r="6" ht="34" customHeight="1">
      <x:c r="A6" s="19" t="str">
        <x:v>Mục đích</x:v>
      </x:c>
      <x:c r="B6" s="20" t="str"/>
      <x:c r="C6" s="31" t="str">
        <x:v>Triển khai hệ thống Consflow</x:v>
      </x:c>
      <x:c r="D6" s="61"/>
      <x:c r="E6" s="62"/>
      <x:c r="F6" s="62"/>
      <x:c r="G6" s="62"/>
      <x:c r="H6" s="62"/>
      <x:c r="I6" s="62"/>
      <x:c r="J6" s="62"/>
      <x:c r="K6" s="63"/>
    </x:row>
    <x:row r="7" ht="24" customHeight="1">
      <x:c r="A7" s="19" t="str">
        <x:v>Trạng thái</x:v>
      </x:c>
      <x:c r="B7" s="20" t="str"/>
      <x:c r="C7" s="31" t="str">
        <x:v>Chờ kế toán đặt mua</x:v>
      </x:c>
      <x:c r="D7" s="61"/>
      <x:c r="E7" s="62"/>
      <x:c r="F7" s="62"/>
      <x:c r="G7" s="62"/>
      <x:c r="H7" s="62"/>
      <x:c r="I7" s="62"/>
      <x:c r="J7" s="62"/>
      <x:c r="K7" s="63"/>
    </x:row>
    <x:row r="8" ht="24" customHeight="1">
      <x:c r="A8" s="21" t="str">
        <x:v>Thuế VAT dự kiến</x:v>
      </x:c>
      <x:c r="B8" s="22" t="str"/>
      <x:c r="C8" s="34" t="n">
        <x:v>0.1</x:v>
      </x:c>
      <x:c r="D8" s="64"/>
      <x:c r="E8" s="65"/>
      <x:c r="F8" s="65"/>
      <x:c r="G8" s="65"/>
      <x:c r="H8" s="65"/>
      <x:c r="I8" s="65"/>
      <x:c r="J8" s="65"/>
      <x:c r="K8" s="66"/>
    </x:row>
    <x:row r="10" ht="40" customHeight="1">
      <x:c r="A10" s="71" t="str">
        <x:v>STT</x:v>
      </x:c>
      <x:c r="B10" s="71" t="str">
        <x:v>Dịch vụ</x:v>
      </x:c>
      <x:c r="C10" s="71" t="str">
        <x:v>Gói</x:v>
      </x:c>
      <x:c r="D10" s="71" t="str">
        <x:v>Cấu hình chính</x:v>
      </x:c>
      <x:c r="E10" s="71" t="str">
        <x:v>Chu kỳ
(tháng)</x:v>
      </x:c>
      <x:c r="F10" s="71" t="str">
        <x:v>Đơn giá/tháng
trước VAT</x:v>
      </x:c>
      <x:c r="G10" s="71" t="str">
        <x:v>Ưu đãi niêm yết</x:v>
      </x:c>
      <x:c r="H10" s="71" t="str">
        <x:v>Thành tiền
trước VAT</x:v>
      </x:c>
      <x:c r="I10" s="71" t="str">
        <x:v>VAT</x:v>
      </x:c>
      <x:c r="J10" s="71" t="str">
        <x:v>Tổng thanh toán</x:v>
      </x:c>
      <x:c r="K10" s="71" t="str">
        <x:v>Liên kết đặt mua</x:v>
      </x:c>
    </x:row>
    <x:row r="11" ht="38" customHeight="1">
      <x:c r="A11" s="75" t="n">
        <x:v>1</x:v>
      </x:c>
      <x:c r="B11" s="74" t="str">
        <x:v>Cloud VPS</x:v>
      </x:c>
      <x:c r="C11" s="74" t="str">
        <x:v>VPS NVMe 4</x:v>
      </x:c>
      <x:c r="D11" s="74" t="str">
        <x:v>4 CPU AMD EPYC; RAM 8GB; NVMe 50GB</x:v>
      </x:c>
      <x:c r="E11" s="75" t="n">
        <x:v>12</x:v>
      </x:c>
      <x:c r="F11" s="76" t="n">
        <x:v>680000</x:v>
      </x:c>
      <x:c r="G11" s="76" t="str">
        <x:v>DE08: giảm thêm 8%*</x:v>
      </x:c>
      <x:c r="H11" s="76" t="n">
        <x:f>E11*F11</x:f>
        <x:v>8160000</x:v>
      </x:c>
      <x:c r="I11" s="76" t="n">
        <x:f>H11*$C$8</x:f>
        <x:v>816000</x:v>
      </x:c>
      <x:c r="J11" s="76" t="n">
        <x:f>H11+I11</x:f>
        <x:v>8976000</x:v>
      </x:c>
      <x:c r="K11" s="74" t="str">
        <x:v>https://vietnix.vn/vps-nvme/</x:v>
      </x:c>
    </x:row>
    <x:row r="12" ht="38" customHeight="1">
      <x:c r="A12" s="75" t="n">
        <x:v>2</x:v>
      </x:c>
      <x:c r="B12" s="74" t="str">
        <x:v>Object Storage</x:v>
      </x:c>
      <x:c r="C12" s="74" t="str">
        <x:v>S3 Basic</x:v>
      </x:c>
      <x:c r="D12" s="74" t="str">
        <x:v>100GB; S3 API; Network 100Mbps</x:v>
      </x:c>
      <x:c r="E12" s="75" t="n">
        <x:v>12</x:v>
      </x:c>
      <x:c r="F12" s="76" t="n">
        <x:v>90000</x:v>
      </x:c>
      <x:c r="G12" s="76" t="str">
        <x:v>Giá chu kỳ 1 năm</x:v>
      </x:c>
      <x:c r="H12" s="76" t="n">
        <x:f>E12*F12</x:f>
        <x:v>1080000</x:v>
      </x:c>
      <x:c r="I12" s="76" t="n">
        <x:f>H12*$C$8</x:f>
        <x:v>108000</x:v>
      </x:c>
      <x:c r="J12" s="76" t="n">
        <x:f>H12+I12</x:f>
        <x:v>1188000</x:v>
      </x:c>
      <x:c r="K12" s="74" t="str">
        <x:v>https://vietnix.vn/s3-object-storage/</x:v>
      </x:c>
    </x:row>
    <x:row r="13">
      <x:c r="A13" s="78" t="str">
        <x:v>TỔNG DỰ TOÁN</x:v>
      </x:c>
      <x:c r="B13" s="78"/>
      <x:c r="C13" s="78"/>
      <x:c r="D13" s="78"/>
      <x:c r="E13" s="78"/>
      <x:c r="F13" s="78"/>
      <x:c r="G13" s="78"/>
      <x:c r="H13" s="79" t="n">
        <x:f>SUM(H11:H12)</x:f>
        <x:v>9240000</x:v>
      </x:c>
      <x:c r="I13" s="79" t="n">
        <x:f>SUM(I11:I12)</x:f>
        <x:v>924000</x:v>
      </x:c>
      <x:c r="J13" s="79" t="n">
        <x:f>SUM(J11:J12)</x:f>
        <x:v>10164000</x:v>
      </x:c>
      <x:c r="K13" s="78" t="str">
        <x:v>Ngân sách tối đa</x:v>
      </x:c>
    </x:row>
    <x:row r="15">
      <x:c r="A15" s="98" t="str">
        <x:v>NGÂN SÁCH TỐI ĐA (GỒM VAT)</x:v>
      </x:c>
      <x:c r="B15" s="99"/>
      <x:c r="C15" s="100"/>
      <x:c r="E15" s="138" t="str">
        <x:v>DỰ KIẾN SAU MÃ DE08*</x:v>
      </x:c>
      <x:c r="F15" s="139"/>
      <x:c r="G15" s="140"/>
      <x:c r="I15" s="178" t="str">
        <x:v>TIẾT KIỆM DỰ KIẾN</x:v>
      </x:c>
      <x:c r="J15" s="179"/>
      <x:c r="K15" s="180"/>
    </x:row>
    <x:row r="16">
      <x:c r="A16" s="113" t="n">
        <x:f>J13</x:f>
        <x:v>10164000</x:v>
      </x:c>
      <x:c r="B16" s="114"/>
      <x:c r="C16" s="115"/>
      <x:c r="E16" s="153" t="n">
        <x:f>C24</x:f>
        <x:v>9445920</x:v>
      </x:c>
      <x:c r="F16" s="154"/>
      <x:c r="G16" s="155"/>
      <x:c r="I16" s="193" t="n">
        <x:f>J13-C24</x:f>
        <x:v>718080</x:v>
      </x:c>
      <x:c r="J16" s="194"/>
      <x:c r="K16" s="195"/>
    </x:row>
    <x:row r="17">
      <x:c r="A17" s="116"/>
      <x:c r="B17" s="117"/>
      <x:c r="C17" s="118"/>
      <x:c r="E17" s="156"/>
      <x:c r="F17" s="157"/>
      <x:c r="G17" s="158"/>
      <x:c r="I17" s="196"/>
      <x:c r="J17" s="197"/>
      <x:c r="K17" s="198"/>
    </x:row>
    <x:row r="19">
      <x:c r="A19" s="36" t="str">
        <x:v>Kịch bản mã DE08 — chỉ áp dụng nếu hệ thống Vietnix chấp nhận tại checkout</x:v>
      </x:c>
      <x:c r="B19" s="37"/>
      <x:c r="C19" s="37"/>
      <x:c r="D19" s="37"/>
      <x:c r="E19" s="37"/>
      <x:c r="F19" s="37"/>
      <x:c r="G19" s="37"/>
      <x:c r="H19" s="37"/>
      <x:c r="I19" s="37"/>
      <x:c r="J19" s="37"/>
      <x:c r="K19" s="38"/>
    </x:row>
    <x:row r="20" ht="24" customHeight="1">
      <x:c r="A20" s="202" t="str">
        <x:v>Tỷ lệ giảm VPS</x:v>
      </x:c>
      <x:c r="B20" s="202" t="str"/>
      <x:c r="C20" s="204" t="n">
        <x:v>0.08</x:v>
      </x:c>
      <x:c r="D20" s="226" t="str">
        <x:v>* Mã DE08 và mức giảm 8% lấy từ ảnh VPS anh cung cấp. Không dùng số sau giảm làm hạn mức thanh toán chính thức trước khi mã được hệ thống chấp nhận. Nếu mã không hợp lệ, tổng ngân sách tối đa gồm VAT là 10.164.000đ. Nếu VAT trên hóa đơn khác 10%, cập nhật ô C8 để bảng tự tính lại.</x:v>
      </x:c>
      <x:c r="E20" s="227"/>
      <x:c r="F20" s="227"/>
      <x:c r="G20" s="227"/>
      <x:c r="H20" s="227"/>
      <x:c r="I20" s="227"/>
      <x:c r="J20" s="227"/>
      <x:c r="K20" s="228"/>
    </x:row>
    <x:row r="21" ht="24" customHeight="1">
      <x:c r="A21" s="202" t="str">
        <x:v>VPS sau giảm (trước VAT)</x:v>
      </x:c>
      <x:c r="B21" s="202" t="str"/>
      <x:c r="C21" s="205" t="n">
        <x:f>H11*(1-C20)</x:f>
        <x:v>7507200</x:v>
      </x:c>
      <x:c r="D21" s="229"/>
      <x:c r="E21" s="230"/>
      <x:c r="F21" s="230"/>
      <x:c r="G21" s="230"/>
      <x:c r="H21" s="230"/>
      <x:c r="I21" s="230"/>
      <x:c r="J21" s="230"/>
      <x:c r="K21" s="231"/>
    </x:row>
    <x:row r="22" ht="36" customHeight="1">
      <x:c r="A22" s="202" t="str">
        <x:v>Tổng 2 dịch vụ sau giảm (trước VAT)</x:v>
      </x:c>
      <x:c r="B22" s="202" t="str"/>
      <x:c r="C22" s="205" t="n">
        <x:f>C21+H12</x:f>
        <x:v>8587200</x:v>
      </x:c>
      <x:c r="D22" s="229"/>
      <x:c r="E22" s="230"/>
      <x:c r="F22" s="230"/>
      <x:c r="G22" s="230"/>
      <x:c r="H22" s="230"/>
      <x:c r="I22" s="230"/>
      <x:c r="J22" s="230"/>
      <x:c r="K22" s="231"/>
    </x:row>
    <x:row r="23" ht="24" customHeight="1">
      <x:c r="A23" s="202" t="str">
        <x:v>VAT dự kiến</x:v>
      </x:c>
      <x:c r="B23" s="202" t="str"/>
      <x:c r="C23" s="205" t="n">
        <x:f>C22*$C$8</x:f>
        <x:v>858720</x:v>
      </x:c>
      <x:c r="D23" s="229"/>
      <x:c r="E23" s="230"/>
      <x:c r="F23" s="230"/>
      <x:c r="G23" s="230"/>
      <x:c r="H23" s="230"/>
      <x:c r="I23" s="230"/>
      <x:c r="J23" s="230"/>
      <x:c r="K23" s="231"/>
    </x:row>
    <x:row r="24" ht="24" customHeight="1">
      <x:c r="A24" s="202" t="str">
        <x:v>Tổng thanh toán dự kiến</x:v>
      </x:c>
      <x:c r="B24" s="202" t="str"/>
      <x:c r="C24" s="207" t="n">
        <x:f>C22+C23</x:f>
        <x:v>9445920</x:v>
      </x:c>
      <x:c r="D24" s="232"/>
      <x:c r="E24" s="233"/>
      <x:c r="F24" s="233"/>
      <x:c r="G24" s="233"/>
      <x:c r="H24" s="233"/>
      <x:c r="I24" s="233"/>
      <x:c r="J24" s="233"/>
      <x:c r="K24" s="234"/>
    </x:row>
    <x:row r="26">
      <x:c r="A26" s="36" t="str">
        <x:v>THÔNG TIN XUẤT HÓA ĐƠN — KẾ TOÁN ĐIỀN</x:v>
      </x:c>
      <x:c r="B26" s="37"/>
      <x:c r="C26" s="37"/>
      <x:c r="D26" s="37"/>
      <x:c r="E26" s="37"/>
      <x:c r="F26" s="37"/>
      <x:c r="G26" s="37"/>
      <x:c r="H26" s="37"/>
      <x:c r="I26" s="37"/>
      <x:c r="J26" s="37"/>
      <x:c r="K26" s="38"/>
    </x:row>
    <x:row r="27">
      <x:c r="A27" s="236" t="str">
        <x:v>Tên công ty</x:v>
      </x:c>
      <x:c r="B27" s="236" t="str"/>
      <x:c r="C27" s="203" t="str"/>
      <x:c r="D27" s="203" t="str"/>
      <x:c r="E27" s="203" t="str"/>
      <x:c r="F27" s="236" t="str">
        <x:v>Mã số thuế</x:v>
      </x:c>
      <x:c r="G27" s="236" t="str"/>
      <x:c r="H27" s="203" t="str"/>
      <x:c r="I27" s="203" t="str"/>
      <x:c r="J27" s="203" t="str"/>
      <x:c r="K27" s="203" t="str"/>
    </x:row>
    <x:row r="28">
      <x:c r="A28" s="236" t="str">
        <x:v>Địa chỉ hóa đơn</x:v>
      </x:c>
      <x:c r="B28" s="236" t="str"/>
      <x:c r="C28" s="203" t="str"/>
      <x:c r="D28" s="203" t="str"/>
      <x:c r="E28" s="203" t="str"/>
      <x:c r="F28" s="237" t="str"/>
      <x:c r="G28" s="237" t="str"/>
      <x:c r="H28" s="203" t="str"/>
      <x:c r="I28" s="203" t="str"/>
      <x:c r="J28" s="203" t="str"/>
      <x:c r="K28" s="203" t="str"/>
    </x:row>
    <x:row r="29">
      <x:c r="A29" s="236" t="str">
        <x:v>Email nhận hóa đơn</x:v>
      </x:c>
      <x:c r="B29" s="236" t="str"/>
      <x:c r="C29" s="203" t="str"/>
      <x:c r="D29" s="203" t="str"/>
      <x:c r="E29" s="203" t="str"/>
      <x:c r="F29" s="236" t="str">
        <x:v>Người phê duyệt</x:v>
      </x:c>
      <x:c r="G29" s="236" t="str"/>
      <x:c r="H29" s="203" t="str"/>
      <x:c r="I29" s="203" t="str"/>
      <x:c r="J29" s="203" t="str"/>
      <x:c r="K29" s="203" t="str"/>
    </x:row>
    <x:row r="31">
      <x:c r="A31" s="36" t="str">
        <x:v>Ghi chú cho kế toán</x:v>
      </x:c>
      <x:c r="B31" s="37"/>
      <x:c r="C31" s="37"/>
      <x:c r="D31" s="37"/>
      <x:c r="E31" s="37"/>
      <x:c r="F31" s="37"/>
      <x:c r="G31" s="37"/>
      <x:c r="H31" s="37"/>
      <x:c r="I31" s="37"/>
      <x:c r="J31" s="37"/>
      <x:c r="K31" s="38"/>
    </x:row>
    <x:row r="32">
      <x:c r="A32" s="265" t="n">
        <x:v>1</x:v>
      </x:c>
      <x:c r="B32" s="255" t="str">
        <x:v>Đặt VPS NVMe 4 và S3 Basic 100GB cùng chu kỳ 12 tháng.</x:v>
      </x:c>
      <x:c r="C32" s="255"/>
      <x:c r="D32" s="255"/>
      <x:c r="E32" s="255"/>
      <x:c r="F32" s="255"/>
      <x:c r="G32" s="255"/>
      <x:c r="H32" s="255"/>
      <x:c r="I32" s="255"/>
      <x:c r="J32" s="255"/>
      <x:c r="K32" s="256"/>
    </x:row>
    <x:row r="33">
      <x:c r="A33" s="266" t="n">
        <x:v>2</x:v>
      </x:c>
      <x:c r="B33" s="74" t="str">
        <x:v>Nhập mã DE08 khi thanh toán VPS; lưu ảnh checkout thể hiện mã được chấp nhận hoặc bị từ chối.</x:v>
      </x:c>
      <x:c r="C33" s="74"/>
      <x:c r="D33" s="74"/>
      <x:c r="E33" s="74"/>
      <x:c r="F33" s="74"/>
      <x:c r="G33" s="74"/>
      <x:c r="H33" s="74"/>
      <x:c r="I33" s="74"/>
      <x:c r="J33" s="74"/>
      <x:c r="K33" s="258"/>
    </x:row>
    <x:row r="34">
      <x:c r="A34" s="266" t="n">
        <x:v>3</x:v>
      </x:c>
      <x:c r="B34" s="74" t="str">
        <x:v>Đối chiếu tổng tiền với hạn mức 10.164.000đ gồm VAT trước khi thanh toán.</x:v>
      </x:c>
      <x:c r="C34" s="74"/>
      <x:c r="D34" s="74"/>
      <x:c r="E34" s="74"/>
      <x:c r="F34" s="74"/>
      <x:c r="G34" s="74"/>
      <x:c r="H34" s="74"/>
      <x:c r="I34" s="74"/>
      <x:c r="J34" s="74"/>
      <x:c r="K34" s="258"/>
    </x:row>
    <x:row r="35">
      <x:c r="A35" s="266" t="n">
        <x:v>4</x:v>
      </x:c>
      <x:c r="B35" s="74" t="str">
        <x:v>Yêu cầu hóa đơn VAT và gửi hóa đơn/biên nhận cho người phê duyệt.</x:v>
      </x:c>
      <x:c r="C35" s="74"/>
      <x:c r="D35" s="74"/>
      <x:c r="E35" s="74"/>
      <x:c r="F35" s="74"/>
      <x:c r="G35" s="74"/>
      <x:c r="H35" s="74"/>
      <x:c r="I35" s="74"/>
      <x:c r="J35" s="74"/>
      <x:c r="K35" s="258"/>
    </x:row>
    <x:row r="36">
      <x:c r="A36" s="267" t="n">
        <x:v>5</x:v>
      </x:c>
      <x:c r="B36" s="260" t="str">
        <x:v>Không ghi mật khẩu VPS, Access Key hoặc Secret Key S3 vào Google Sheet này.</x:v>
      </x:c>
      <x:c r="C36" s="260"/>
      <x:c r="D36" s="260"/>
      <x:c r="E36" s="260"/>
      <x:c r="F36" s="260"/>
      <x:c r="G36" s="260"/>
      <x:c r="H36" s="260"/>
      <x:c r="I36" s="260"/>
      <x:c r="J36" s="260"/>
      <x:c r="K36" s="261"/>
    </x:row>
  </x:sheetData>
  <x:mergeCells>
    <x:mergeCell ref="A1:K1"/>
    <x:mergeCell ref="A2:K2"/>
    <x:mergeCell ref="A4:B4"/>
    <x:mergeCell ref="A5:B5"/>
    <x:mergeCell ref="A6:B6"/>
    <x:mergeCell ref="A7:B7"/>
    <x:mergeCell ref="A8:B8"/>
    <x:mergeCell ref="D4:K4"/>
    <x:mergeCell ref="D5:K8"/>
    <x:mergeCell ref="A13:G13"/>
    <x:mergeCell ref="A15:C15"/>
    <x:mergeCell ref="A16:C17"/>
    <x:mergeCell ref="E15:G15"/>
    <x:mergeCell ref="E16:G17"/>
    <x:mergeCell ref="I15:K15"/>
    <x:mergeCell ref="I16:K17"/>
    <x:mergeCell ref="A19:K19"/>
    <x:mergeCell ref="A20:B20"/>
    <x:mergeCell ref="A21:B21"/>
    <x:mergeCell ref="A22:B22"/>
    <x:mergeCell ref="A23:B23"/>
    <x:mergeCell ref="A24:B24"/>
    <x:mergeCell ref="D20:K24"/>
    <x:mergeCell ref="A26:K26"/>
    <x:mergeCell ref="A27:B27"/>
    <x:mergeCell ref="C27:E27"/>
    <x:mergeCell ref="F27:G27"/>
    <x:mergeCell ref="H27:K27"/>
    <x:mergeCell ref="A28:B28"/>
    <x:mergeCell ref="C28:K28"/>
    <x:mergeCell ref="A29:B29"/>
    <x:mergeCell ref="C29:E29"/>
    <x:mergeCell ref="F29:G29"/>
    <x:mergeCell ref="H29:K29"/>
    <x:mergeCell ref="A31:K31"/>
    <x:mergeCell ref="B32:K32"/>
    <x:mergeCell ref="B33:K33"/>
    <x:mergeCell ref="B34:K34"/>
    <x:mergeCell ref="B35:K35"/>
    <x:mergeCell ref="B36:K3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34" hidden="0" customWidth="1"/>
    <x:col min="4" max="4" width="35" hidden="0" customWidth="1"/>
    <x:col min="5" max="5" width="39" hidden="0" customWidth="1"/>
  </x:cols>
  <x:sheetData>
    <x:row r="1" ht="32" customHeight="1">
      <x:c r="A1" s="275" t="str">
        <x:v>CHI TIẾT KỸ THUẬT VÀ NGUỒN GIÁ</x:v>
      </x:c>
      <x:c r="B1" s="276"/>
      <x:c r="C1" s="276"/>
      <x:c r="D1" s="276"/>
      <x:c r="E1" s="277"/>
    </x:row>
    <x:row r="3">
      <x:c r="A3" s="71" t="str">
        <x:v>Dịch vụ</x:v>
      </x:c>
      <x:c r="B3" s="71" t="str">
        <x:v>Thuộc tính</x:v>
      </x:c>
      <x:c r="C3" s="71" t="str">
        <x:v>Giá trị</x:v>
      </x:c>
      <x:c r="D3" s="71" t="str">
        <x:v>Ghi chú</x:v>
      </x:c>
      <x:c r="E3" s="71" t="str">
        <x:v>Nguồn</x:v>
      </x:c>
    </x:row>
    <x:row r="4" ht="34" customHeight="1">
      <x:c r="A4" s="202" t="str">
        <x:v>VPS NVMe 4</x:v>
      </x:c>
      <x:c r="B4" s="74" t="str">
        <x:v>CPU</x:v>
      </x:c>
      <x:c r="C4" s="74" t="str">
        <x:v>4 CPU AMD EPYC</x:v>
      </x:c>
      <x:c r="D4" s="74" t="str">
        <x:v>Theo ảnh lựa chọn</x:v>
      </x:c>
      <x:c r="E4" s="74" t="str">
        <x:v>https://vietnix.vn/vps-nvme/</x:v>
      </x:c>
    </x:row>
    <x:row r="5" ht="34" customHeight="1">
      <x:c r="A5" s="202" t="str">
        <x:v>VPS NVMe 4</x:v>
      </x:c>
      <x:c r="B5" s="74" t="str">
        <x:v>RAM</x:v>
      </x:c>
      <x:c r="C5" s="74" t="str">
        <x:v>8GB</x:v>
      </x:c>
      <x:c r="D5" s="74" t="str">
        <x:v>Theo ảnh lựa chọn</x:v>
      </x:c>
      <x:c r="E5" s="74" t="str">
        <x:v>https://vietnix.vn/vps-nvme/</x:v>
      </x:c>
    </x:row>
    <x:row r="6" ht="34" customHeight="1">
      <x:c r="A6" s="202" t="str">
        <x:v>VPS NVMe 4</x:v>
      </x:c>
      <x:c r="B6" s="74" t="str">
        <x:v>Ổ đĩa</x:v>
      </x:c>
      <x:c r="C6" s="74" t="str">
        <x:v>50GB NVMe</x:v>
      </x:c>
      <x:c r="D6" s="74" t="str">
        <x:v>Theo ảnh lựa chọn</x:v>
      </x:c>
      <x:c r="E6" s="74" t="str">
        <x:v>https://vietnix.vn/vps-nvme/</x:v>
      </x:c>
    </x:row>
    <x:row r="7" ht="34" customHeight="1">
      <x:c r="A7" s="202" t="str">
        <x:v>VPS NVMe 4</x:v>
      </x:c>
      <x:c r="B7" s="74" t="str">
        <x:v>Băng thông trong nước</x:v>
      </x:c>
      <x:c r="C7" s="74" t="str">
        <x:v>400 Mbps</x:v>
      </x:c>
      <x:c r="D7" s="74" t="str">
        <x:v>Không giới hạn Data Transfer</x:v>
      </x:c>
      <x:c r="E7" s="74" t="str">
        <x:v>https://vietnix.vn/vps-nvme/</x:v>
      </x:c>
    </x:row>
    <x:row r="8" ht="34" customHeight="1">
      <x:c r="A8" s="202" t="str">
        <x:v>VPS NVMe 4</x:v>
      </x:c>
      <x:c r="B8" s="74" t="str">
        <x:v>Băng thông quốc tế</x:v>
      </x:c>
      <x:c r="C8" s="74" t="str">
        <x:v>400Mbps Inbound / 50Mbps Outbound</x:v>
      </x:c>
      <x:c r="D8" s="74" t="str">
        <x:v>Theo ảnh lựa chọn</x:v>
      </x:c>
      <x:c r="E8" s="74" t="str">
        <x:v>https://vietnix.vn/vps-nvme/</x:v>
      </x:c>
    </x:row>
    <x:row r="9" ht="34" customHeight="1">
      <x:c r="A9" s="202" t="str">
        <x:v>VPS NVMe 4</x:v>
      </x:c>
      <x:c r="B9" s="74" t="str">
        <x:v>License</x:v>
      </x:c>
      <x:c r="C9" s="74" t="str">
        <x:v>DirectAdmin</x:v>
      </x:c>
      <x:c r="D9" s="74" t="str">
        <x:v>Được tặng kèm theo ảnh</x:v>
      </x:c>
      <x:c r="E9" s="74" t="str">
        <x:v>https://vietnix.vn/vps-nvme/</x:v>
      </x:c>
    </x:row>
    <x:row r="10" ht="34" customHeight="1">
      <x:c r="A10" s="202" t="str">
        <x:v>VPS NVMe 4</x:v>
      </x:c>
      <x:c r="B10" s="74" t="str">
        <x:v>Giá 12 tháng</x:v>
      </x:c>
      <x:c r="C10" s="74" t="str">
        <x:v>680.000đ/tháng</x:v>
      </x:c>
      <x:c r="D10" s="74" t="str">
        <x:v>Tổng trước VAT: 8.160.000đ</x:v>
      </x:c>
      <x:c r="E10" s="74" t="str">
        <x:v>https://vietnix.vn/vps-nvme/</x:v>
      </x:c>
    </x:row>
    <x:row r="11" ht="34" customHeight="1">
      <x:c r="A11" s="202" t="str">
        <x:v>VPS NVMe 4</x:v>
      </x:c>
      <x:c r="B11" s="74" t="str">
        <x:v>Mã ưu đãi</x:v>
      </x:c>
      <x:c r="C11" s="74" t="str">
        <x:v>DE08 — giảm thêm 8%</x:v>
      </x:c>
      <x:c r="D11" s="74" t="str">
        <x:v>Chờ xác nhận tại checkout</x:v>
      </x:c>
      <x:c r="E11" s="74" t="str">
        <x:v>Ảnh người dùng cung cấp</x:v>
      </x:c>
    </x:row>
    <x:row r="12" ht="34" customHeight="1">
      <x:c r="A12" s="280" t="str">
        <x:v>S3 Basic</x:v>
      </x:c>
      <x:c r="B12" s="74" t="str">
        <x:v>Dung lượng</x:v>
      </x:c>
      <x:c r="C12" s="74" t="str">
        <x:v>100GB</x:v>
      </x:c>
      <x:c r="D12" s="74" t="str">
        <x:v>Gói Basic</x:v>
      </x:c>
      <x:c r="E12" s="74" t="str">
        <x:v>https://vietnix.vn/s3-object-storage/</x:v>
      </x:c>
    </x:row>
    <x:row r="13" ht="34" customHeight="1">
      <x:c r="A13" s="280" t="str">
        <x:v>S3 Basic</x:v>
      </x:c>
      <x:c r="B13" s="74" t="str">
        <x:v>Datacenter</x:v>
      </x:c>
      <x:c r="C13" s="74" t="str">
        <x:v>Mobifone</x:v>
      </x:c>
      <x:c r="D13" s="74" t="str">
        <x:v>Hạ tầng Việt Nam</x:v>
      </x:c>
      <x:c r="E13" s="74" t="str">
        <x:v>https://vietnix.vn/s3-object-storage/</x:v>
      </x:c>
    </x:row>
    <x:row r="14" ht="34" customHeight="1">
      <x:c r="A14" s="280" t="str">
        <x:v>S3 Basic</x:v>
      </x:c>
      <x:c r="B14" s="74" t="str">
        <x:v>Tương thích</x:v>
      </x:c>
      <x:c r="C14" s="74" t="str">
        <x:v>S3 API</x:v>
      </x:c>
      <x:c r="D14" s="74" t="str">
        <x:v>Dùng cho ảnh/PDF của Consflow</x:v>
      </x:c>
      <x:c r="E14" s="74" t="str">
        <x:v>https://vietnix.vn/s3-object-storage/</x:v>
      </x:c>
    </x:row>
    <x:row r="15" ht="34" customHeight="1">
      <x:c r="A15" s="280" t="str">
        <x:v>S3 Basic</x:v>
      </x:c>
      <x:c r="B15" s="74" t="str">
        <x:v>Network</x:v>
      </x:c>
      <x:c r="C15" s="74" t="str">
        <x:v>100Mbps</x:v>
      </x:c>
      <x:c r="D15" s="74" t="str">
        <x:v>Theo ảnh lựa chọn</x:v>
      </x:c>
      <x:c r="E15" s="74" t="str">
        <x:v>https://vietnix.vn/s3-object-storage/</x:v>
      </x:c>
    </x:row>
    <x:row r="16" ht="34" customHeight="1">
      <x:c r="A16" s="280" t="str">
        <x:v>S3 Basic</x:v>
      </x:c>
      <x:c r="B16" s="74" t="str">
        <x:v>Data transfer / Request</x:v>
      </x:c>
      <x:c r="C16" s="74" t="str">
        <x:v>Unlimited / Unlimited</x:v>
      </x:c>
      <x:c r="D16" s="74" t="str">
        <x:v>Không tính thêm trong dự toán gói</x:v>
      </x:c>
      <x:c r="E16" s="74" t="str">
        <x:v>https://vietnix.vn/s3-object-storage/</x:v>
      </x:c>
    </x:row>
    <x:row r="17" ht="34" customHeight="1">
      <x:c r="A17" s="280" t="str">
        <x:v>S3 Basic</x:v>
      </x:c>
      <x:c r="B17" s="74" t="str">
        <x:v>Giá 12 tháng</x:v>
      </x:c>
      <x:c r="C17" s="74" t="str">
        <x:v>90.000đ/tháng</x:v>
      </x:c>
      <x:c r="D17" s="74" t="str">
        <x:v>Tổng trước VAT: 1.080.000đ</x:v>
      </x:c>
      <x:c r="E17" s="74" t="str">
        <x:v>https://vietnix.vn/s3-object-storage/</x:v>
      </x:c>
    </x:row>
    <x:row r="19">
      <x:c r="A19" s="36" t="str">
        <x:v>Lưu ý vận hành sau khi mua</x:v>
      </x:c>
      <x:c r="B19" s="37"/>
      <x:c r="C19" s="37"/>
      <x:c r="D19" s="37"/>
      <x:c r="E19" s="38"/>
    </x:row>
    <x:row r="20">
      <x:c r="A20" s="265" t="n">
        <x:v>1</x:v>
      </x:c>
      <x:c r="B20" s="255" t="str">
        <x:v>Gửi IP VPS, thông tin tài khoản quản trị và endpoint S3 qua kênh bảo mật; không gửi bằng Sheet.</x:v>
      </x:c>
      <x:c r="C20" s="255"/>
      <x:c r="D20" s="255"/>
      <x:c r="E20" s="256"/>
    </x:row>
    <x:row r="21">
      <x:c r="A21" s="266" t="n">
        <x:v>2</x:v>
      </x:c>
      <x:c r="B21" s="74" t="str">
        <x:v>Bật backup dữ liệu ứng dụng và kiểm tra khôi phục định kỳ; không xem Object Storage là bản backup duy nhất.</x:v>
      </x:c>
      <x:c r="C21" s="74"/>
      <x:c r="D21" s="74"/>
      <x:c r="E21" s="258"/>
    </x:row>
    <x:row r="22">
      <x:c r="A22" s="266" t="n">
        <x:v>3</x:v>
      </x:c>
      <x:c r="B22" s="74" t="str">
        <x:v>Tạo bucket riêng cho ảnh/PDF và áp dụng quyền truy cập tối thiểu cho ứng dụng.</x:v>
      </x:c>
      <x:c r="C22" s="74"/>
      <x:c r="D22" s="74"/>
      <x:c r="E22" s="258"/>
    </x:row>
    <x:row r="23">
      <x:c r="A23" s="267" t="n">
        <x:v>4</x:v>
      </x:c>
      <x:c r="B23" s="260" t="str">
        <x:v>Theo dõi dung lượng S3 và tài nguyên VPS trong tháng đầu để quyết định nâng cấp nếu cần.</x:v>
      </x:c>
      <x:c r="C23" s="260"/>
      <x:c r="D23" s="260"/>
      <x:c r="E23" s="261"/>
    </x:row>
  </x:sheetData>
  <x:mergeCells>
    <x:mergeCell ref="A1:E1"/>
    <x:mergeCell ref="A19:E19"/>
    <x:mergeCell ref="B20:E20"/>
    <x:mergeCell ref="B21:E21"/>
    <x:mergeCell ref="B22:E22"/>
    <x:mergeCell ref="B23:E23"/>
  </x:mergeCells>
  <x:pageMargins left="0.7" right="0.7" top="0.75" bottom="0.75" header="0.3" footer="0.3"/>
</x:worksheet>
</file>