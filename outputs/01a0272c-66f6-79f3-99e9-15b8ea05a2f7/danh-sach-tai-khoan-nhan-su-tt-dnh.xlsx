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17a45538084b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counts" sheetId="1" r:id="Rf01f04ed25e9439b"/>
    <x:sheet xmlns:r="http://schemas.openxmlformats.org/officeDocument/2006/relationships" name="roles" sheetId="2" r:id="Rd67719d48bf04244"/>
    <x:sheet xmlns:r="http://schemas.openxmlformats.org/officeDocument/2006/relationships" name="instructions" sheetId="3" r:id="R4bbf98ce01e04d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6">
    <x:font>
      <x:sz val="11"/>
      <x:name val="Carlito"/>
    </x:font>
    <x:font>
      <x:sz val="10"/>
      <x:color rgb="FF172033"/>
      <x:name val="Carlito"/>
    </x:font>
    <x:font>
      <x:b/>
      <x:sz val="10"/>
      <x:color rgb="FFFFFFFF"/>
      <x:name val="Carlito"/>
    </x:font>
    <x:font>
      <x:b/>
      <x:sz val="16"/>
      <x:color rgb="FFFFFFFF"/>
      <x:name val="Carlito"/>
    </x:font>
    <x:font>
      <x:b/>
      <x:sz val="11"/>
      <x:color rgb="FF163A63"/>
      <x:name val="Carlito"/>
    </x:font>
    <x:font>
      <x:b/>
      <x:sz val="11"/>
      <x:color rgb="FF8A4B08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63"/>
      </x:patternFill>
    </x:fill>
    <x:fill>
      <x:patternFill patternType="solid">
        <x:fgColor rgb="FFFFFFFF"/>
      </x:patternFill>
    </x:fill>
    <x:fill>
      <x:patternFill patternType="solid">
        <x:fgColor rgb="FFFFF1D6"/>
      </x:patternFill>
    </x:fill>
    <x:fill>
      <x:patternFill patternType="solid">
        <x:fgColor rgb="FFFFF8E8"/>
      </x:patternFill>
    </x:fill>
    <x:fill>
      <x:patternFill patternType="solid">
        <x:fgColor rgb="FFE7F3FF"/>
      </x:patternFill>
    </x:fill>
  </x:fills>
  <x:borders count="10">
    <x:border/>
    <x:border>
      <x:left style="medium">
        <x:color rgb="FF163A63"/>
      </x:left>
      <x:top style="medium">
        <x:color rgb="FF163A63"/>
      </x:top>
      <x:bottom style="medium">
        <x:color rgb="FF163A63"/>
      </x:bottom>
    </x:border>
    <x:border>
      <x:top style="medium">
        <x:color rgb="FF163A63"/>
      </x:top>
      <x:bottom style="medium">
        <x:color rgb="FF163A63"/>
      </x:bottom>
    </x:border>
    <x:border>
      <x:right style="medium">
        <x:color rgb="FF163A63"/>
      </x:right>
      <x:top style="medium">
        <x:color rgb="FF163A63"/>
      </x:top>
      <x:bottom style="medium">
        <x:color rgb="FF163A63"/>
      </x:bottom>
    </x:border>
    <x:border>
      <x:bottom style="thin">
        <x:color rgb="FFDCE4ED"/>
      </x:bottom>
    </x:border>
    <x:border>
      <x:top style="thin">
        <x:color rgb="FFDCE4ED"/>
      </x:top>
      <x:bottom style="thin">
        <x:color rgb="FFDCE4ED"/>
      </x:bottom>
    </x:border>
    <x:border>
      <x:top style="thin">
        <x:color rgb="FFDCE4ED"/>
      </x:top>
    </x:border>
    <x:border>
      <x:bottom style="thin">
        <x:color rgb="FFE5EAF0"/>
      </x:bottom>
    </x:border>
    <x:border>
      <x:top style="thin">
        <x:color rgb="FFE5EAF0"/>
      </x:top>
      <x:bottom style="thin">
        <x:color rgb="FFE5EAF0"/>
      </x:bottom>
    </x:border>
    <x:border>
      <x:top style="thin">
        <x:color rgb="FFE5EAF0"/>
      </x:top>
    </x:border>
  </x:borders>
  <x:cellStyleXfs count="1">
    <x:xf numFmtId="0" fontId="0" fillId="0" borderId="0"/>
  </x:cellStyleXfs>
  <x:cellXfs count="7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/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1" fillId="3" borderId="6" xfId="0" applyNumberFormat="1" applyFont="1" applyFill="1" applyBorder="1"/>
    <x:xf numFmtId="0" fontId="1" fillId="3" borderId="4" xfId="0" applyNumberFormat="1" applyFont="1" applyFill="1" applyBorder="1" applyAlignment="1">
      <x:alignment vertical="center"/>
    </x:xf>
    <x:xf numFmtId="0" fontId="1" fillId="3" borderId="5" xfId="0" applyNumberFormat="1" applyFont="1" applyFill="1" applyBorder="1" applyAlignment="1">
      <x:alignment vertical="center"/>
    </x:xf>
    <x:xf numFmtId="0" fontId="1" fillId="3" borderId="6" xfId="0" applyNumberFormat="1" applyFont="1" applyFill="1" applyBorder="1" applyAlignment="1">
      <x:alignment vertical="center"/>
    </x:xf>
    <x:xf numFmtId="0" fontId="1" fillId="4" borderId="4" xfId="0" applyNumberFormat="1" applyFont="1" applyFill="1" applyBorder="1" applyAlignment="1">
      <x:alignment vertical="center"/>
    </x:xf>
    <x:xf numFmtId="0" fontId="1" fillId="4" borderId="5" xfId="0" applyNumberFormat="1" applyFont="1" applyFill="1" applyBorder="1" applyAlignment="1">
      <x:alignment vertical="center"/>
    </x:xf>
    <x:xf numFmtId="0" fontId="1" fillId="4" borderId="6" xfId="0" applyNumberFormat="1" applyFont="1" applyFill="1" applyBorder="1" applyAlignment="1">
      <x:alignment vertical="center"/>
    </x:xf>
    <x:xf numFmtId="0" fontId="1" fillId="5" borderId="4" xfId="0" applyNumberFormat="1" applyFont="1" applyFill="1" applyBorder="1" applyAlignment="1">
      <x:alignment vertical="center"/>
    </x:xf>
    <x:xf numFmtId="0" fontId="1" fillId="5" borderId="5" xfId="0" applyNumberFormat="1" applyFont="1" applyFill="1" applyBorder="1" applyAlignment="1">
      <x:alignment vertical="center"/>
    </x:xf>
    <x:xf numFmtId="0" fontId="1" fillId="5" borderId="6" xfId="0" applyNumberFormat="1" applyFont="1" applyFill="1" applyBorder="1" applyAlignment="1">
      <x:alignment vertical="center"/>
    </x:xf>
    <x:xf numFmtId="200" fontId="2" fillId="2" borderId="1" xfId="0" applyNumberFormat="1" applyFont="1" applyFill="1" applyBorder="1" applyAlignment="1">
      <x:alignment horizontal="center" vertical="center" wrapText="1"/>
    </x:xf>
    <x:xf numFmtId="200" fontId="2" fillId="2" borderId="2" xfId="0" applyNumberFormat="1" applyFont="1" applyFill="1" applyBorder="1" applyAlignment="1">
      <x:alignment horizontal="center" vertical="center" wrapText="1"/>
    </x:xf>
    <x:xf numFmtId="200" fontId="2" fillId="2" borderId="3" xfId="0" applyNumberFormat="1" applyFont="1" applyFill="1" applyBorder="1" applyAlignment="1">
      <x:alignment horizontal="center" vertical="center" wrapText="1"/>
    </x:xf>
    <x:xf numFmtId="200" fontId="1" fillId="3" borderId="4" xfId="0" applyNumberFormat="1" applyFont="1" applyFill="1" applyBorder="1" applyAlignment="1">
      <x:alignment vertical="center"/>
    </x:xf>
    <x:xf numFmtId="200" fontId="1" fillId="4" borderId="4" xfId="0" applyNumberFormat="1" applyFont="1" applyFill="1" applyBorder="1" applyAlignment="1">
      <x:alignment vertical="center"/>
    </x:xf>
    <x:xf numFmtId="200" fontId="1" fillId="5" borderId="4" xfId="0" applyNumberFormat="1" applyFont="1" applyFill="1" applyBorder="1" applyAlignment="1">
      <x:alignment vertical="center"/>
    </x:xf>
    <x:xf numFmtId="200" fontId="1" fillId="3" borderId="5" xfId="0" applyNumberFormat="1" applyFont="1" applyFill="1" applyBorder="1" applyAlignment="1">
      <x:alignment vertical="center"/>
    </x:xf>
    <x:xf numFmtId="200" fontId="1" fillId="4" borderId="5" xfId="0" applyNumberFormat="1" applyFont="1" applyFill="1" applyBorder="1" applyAlignment="1">
      <x:alignment vertical="center"/>
    </x:xf>
    <x:xf numFmtId="200" fontId="1" fillId="5" borderId="5" xfId="0" applyNumberFormat="1" applyFont="1" applyFill="1" applyBorder="1" applyAlignment="1">
      <x:alignment vertical="center"/>
    </x:xf>
    <x:xf numFmtId="200" fontId="1" fillId="3" borderId="6" xfId="0" applyNumberFormat="1" applyFont="1" applyFill="1" applyBorder="1" applyAlignment="1">
      <x:alignment vertical="center"/>
    </x:xf>
    <x:xf numFmtId="200" fontId="1" fillId="4" borderId="6" xfId="0" applyNumberFormat="1" applyFont="1" applyFill="1" applyBorder="1" applyAlignment="1">
      <x:alignment vertical="center"/>
    </x:xf>
    <x:xf numFmtId="200" fontId="1" fillId="5" borderId="6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6" borderId="4" xfId="0" applyNumberFormat="1" applyFont="1" applyFill="1" applyBorder="1" applyAlignment="1">
      <x:alignment vertical="center"/>
    </x:xf>
    <x:xf numFmtId="0" fontId="1" fillId="6" borderId="5" xfId="0" applyNumberFormat="1" applyFont="1" applyFill="1" applyBorder="1" applyAlignment="1">
      <x:alignment vertical="center"/>
    </x:xf>
    <x:xf numFmtId="0" fontId="1" fillId="6" borderId="6" xfId="0" applyNumberFormat="1" applyFont="1" applyFill="1" applyBorder="1" applyAlignment="1">
      <x:alignment vertical="center"/>
    </x:xf>
    <x:xf numFmtId="201" fontId="1" fillId="6" borderId="4" xfId="0" applyNumberFormat="1" applyFont="1" applyFill="1" applyBorder="1" applyAlignment="1">
      <x:alignment vertical="center"/>
    </x:xf>
    <x:xf numFmtId="201" fontId="1" fillId="6" borderId="5" xfId="0" applyNumberFormat="1" applyFont="1" applyFill="1" applyBorder="1" applyAlignment="1">
      <x:alignment vertical="center"/>
    </x:xf>
    <x:xf numFmtId="201" fontId="1" fillId="6" borderId="6" xfId="0" applyNumberFormat="1" applyFont="1" applyFill="1" applyBorder="1" applyAlignment="1">
      <x:alignment vertical="center"/>
    </x:xf>
    <x:xf numFmtId="201" fontId="1" fillId="6" borderId="4" xfId="0" applyNumberFormat="1" applyFont="1" applyFill="1" applyBorder="1" applyAlignment="1">
      <x:alignment horizontal="center" vertical="center"/>
    </x:xf>
    <x:xf numFmtId="201" fontId="1" fillId="6" borderId="5" xfId="0" applyNumberFormat="1" applyFont="1" applyFill="1" applyBorder="1" applyAlignment="1">
      <x:alignment horizontal="center" vertical="center"/>
    </x:xf>
    <x:xf numFmtId="201" fontId="1" fillId="6" borderId="6" xfId="0" applyNumberFormat="1" applyFont="1" applyFill="1" applyBorder="1" applyAlignment="1">
      <x:alignment horizontal="center" vertical="center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1" fillId="3" borderId="7" xfId="0" applyNumberFormat="1" applyFont="1" applyFill="1" applyBorder="1" applyAlignment="1">
      <x:alignment vertical="center" wrapText="1"/>
    </x:xf>
    <x:xf numFmtId="0" fontId="1" fillId="3" borderId="8" xfId="0" applyNumberFormat="1" applyFont="1" applyFill="1" applyBorder="1" applyAlignment="1">
      <x:alignment vertical="center" wrapText="1"/>
    </x:xf>
    <x:xf numFmtId="0" fontId="1" fillId="3" borderId="9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4455bbb7ba48f1" /><Relationship Type="http://schemas.openxmlformats.org/officeDocument/2006/relationships/theme" Target="/xl/theme/theme1.xml" Id="R328bffe3fe744a85" /><Relationship Type="http://schemas.openxmlformats.org/officeDocument/2006/relationships/sharedStrings" Target="/xl/sharedStrings.xml" Id="Rc62d9d65d3604822" /><Relationship Type="http://schemas.openxmlformats.org/officeDocument/2006/relationships/worksheet" Target="/xl/worksheets/sheet1.xml" Id="Rf01f04ed25e9439b" /><Relationship Type="http://schemas.openxmlformats.org/officeDocument/2006/relationships/worksheet" Target="/xl/worksheets/sheet2.xml" Id="Rd67719d48bf04244" /><Relationship Type="http://schemas.openxmlformats.org/officeDocument/2006/relationships/worksheet" Target="/xl/worksheets/sheet3.xml" Id="R4bbf98ce01e04dbb" /></Relationships>
</file>

<file path=xl/tables/table1.xml><?xml version="1.0" encoding="utf-8"?>
<x:table xmlns:x="http://schemas.openxmlformats.org/spreadsheetml/2006/main" id="1" name="StaffAccountsImportTable" displayName="StaffAccountsImportTable" ref="A1:H14" headerRowCount="1" totalsRowCount="0" totalsRowShown="0">
  <x:tableColumns count="8">
    <x:tableColumn id="1" name="full_name"/>
    <x:tableColumn id="2" name="login_email"/>
    <x:tableColumn id="3" name="password"/>
    <x:tableColumn id="4" name="recovery_email"/>
    <x:tableColumn id="5" name="phone"/>
    <x:tableColumn id="6" name="department"/>
    <x:tableColumn id="7" name="position"/>
    <x:tableColumn id="8" name="role_cod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taffRoleMappingTable" displayName="StaffRoleMappingTable" ref="A1:D8" headerRowCount="1" totalsRowCount="0" totalsRowShown="0">
  <x:tableColumns count="4">
    <x:tableColumn id="1" name="role_code"/>
    <x:tableColumn id="2" name="Tên vai trò hệ thống"/>
    <x:tableColumn id="3" name="Vị trí client"/>
    <x:tableColumn id="4" name="Số tài khoả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4cf364afbc448a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512a5e85133479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0" hidden="0" customWidth="1"/>
    <x:col min="3" max="3" width="16" hidden="0" customWidth="1"/>
    <x:col min="4" max="4" width="30" hidden="0" customWidth="1"/>
    <x:col min="5" max="5" width="16" hidden="0" customWidth="1"/>
    <x:col min="6" max="6" width="18" hidden="0" customWidth="1"/>
    <x:col min="7" max="7" width="20" hidden="0" customWidth="1"/>
    <x:col min="8" max="8" width="16" hidden="0" customWidth="1"/>
  </x:cols>
  <x:sheetData>
    <x:row r="1" ht="28" customHeight="1">
      <x:c r="A1" s="29" t="str">
        <x:v>full_name</x:v>
      </x:c>
      <x:c r="B1" s="30" t="str">
        <x:v>login_email</x:v>
      </x:c>
      <x:c r="C1" s="30" t="str">
        <x:v>password</x:v>
      </x:c>
      <x:c r="D1" s="30" t="str">
        <x:v>recovery_email</x:v>
      </x:c>
      <x:c r="E1" s="30" t="str">
        <x:v>phone</x:v>
      </x:c>
      <x:c r="F1" s="30" t="str">
        <x:v>department</x:v>
      </x:c>
      <x:c r="G1" s="30" t="str">
        <x:v>position</x:v>
      </x:c>
      <x:c r="H1" s="31" t="str">
        <x:v>role_code</x:v>
      </x:c>
    </x:row>
    <x:row r="2" ht="23" customHeight="1">
      <x:c r="A2" s="32" t="str">
        <x:v>Nguyễn Phan Hoàng Long</x:v>
      </x:c>
      <x:c r="B2" s="32" t="str">
        <x:v>longnph@tt-dnh.com</x:v>
      </x:c>
      <x:c r="C2" s="33" t="str">
        <x:v>zr*9PM5e</x:v>
      </x:c>
      <x:c r="D2" s="34" t="str"/>
      <x:c r="E2" s="32" t="str"/>
      <x:c r="F2" s="32" t="str">
        <x:v>Ban giám đốc</x:v>
      </x:c>
      <x:c r="G2" s="32" t="str">
        <x:v>Giám đốc</x:v>
      </x:c>
      <x:c r="H2" s="32" t="str">
        <x:v>director</x:v>
      </x:c>
    </x:row>
    <x:row r="3" ht="23" customHeight="1">
      <x:c r="A3" s="35" t="str">
        <x:v>Trịnh Quốc Tuấn</x:v>
      </x:c>
      <x:c r="B3" s="35" t="str">
        <x:v>tuantq@tt-dnh.com</x:v>
      </x:c>
      <x:c r="C3" s="36" t="str">
        <x:v>wj9#64sU</x:v>
      </x:c>
      <x:c r="D3" s="37" t="str"/>
      <x:c r="E3" s="35" t="str"/>
      <x:c r="F3" s="35" t="str">
        <x:v>Mua hàng</x:v>
      </x:c>
      <x:c r="G3" s="35" t="str">
        <x:v>Mua hàng</x:v>
      </x:c>
      <x:c r="H3" s="35" t="str">
        <x:v>procurement</x:v>
      </x:c>
    </x:row>
    <x:row r="4" ht="23" customHeight="1">
      <x:c r="A4" s="35" t="str">
        <x:v>Bùi Văn Cường</x:v>
      </x:c>
      <x:c r="B4" s="35" t="str">
        <x:v>cuongbv@tt-dnh.com</x:v>
      </x:c>
      <x:c r="C4" s="36" t="str">
        <x:v>K@4qH7p5</x:v>
      </x:c>
      <x:c r="D4" s="37" t="str"/>
      <x:c r="E4" s="35" t="str"/>
      <x:c r="F4" s="35" t="str">
        <x:v>Dự án</x:v>
      </x:c>
      <x:c r="G4" s="35" t="str">
        <x:v>Quản lý dự án</x:v>
      </x:c>
      <x:c r="H4" s="35" t="str">
        <x:v>pm</x:v>
      </x:c>
    </x:row>
    <x:row r="5" ht="23" customHeight="1">
      <x:c r="A5" s="35" t="str">
        <x:v>Trần Nhật Tài</x:v>
      </x:c>
      <x:c r="B5" s="35" t="str">
        <x:v>taitn@tt-dnh.com</x:v>
      </x:c>
      <x:c r="C5" s="36" t="str">
        <x:v>3PgqtcT%</x:v>
      </x:c>
      <x:c r="D5" s="37" t="str"/>
      <x:c r="E5" s="35" t="str"/>
      <x:c r="F5" s="35" t="str">
        <x:v>Dự án</x:v>
      </x:c>
      <x:c r="G5" s="35" t="str">
        <x:v>Kỹ sư QS</x:v>
      </x:c>
      <x:c r="H5" s="35" t="str">
        <x:v>qs</x:v>
      </x:c>
    </x:row>
    <x:row r="6" ht="23" customHeight="1">
      <x:c r="A6" s="35" t="str">
        <x:v>Hoàng Văn Anh</x:v>
      </x:c>
      <x:c r="B6" s="35" t="str">
        <x:v>anhhv@tt-dnh.com</x:v>
      </x:c>
      <x:c r="C6" s="36" t="str">
        <x:v>6pnPV##3</x:v>
      </x:c>
      <x:c r="D6" s="37" t="str"/>
      <x:c r="E6" s="35" t="str"/>
      <x:c r="F6" s="35" t="str">
        <x:v>Thiết kế</x:v>
      </x:c>
      <x:c r="G6" s="35" t="str">
        <x:v>Thiết kế</x:v>
      </x:c>
      <x:c r="H6" s="35" t="str">
        <x:v>design</x:v>
      </x:c>
    </x:row>
    <x:row r="7" ht="23" customHeight="1">
      <x:c r="A7" s="35" t="str">
        <x:v>Lê Văn Quang</x:v>
      </x:c>
      <x:c r="B7" s="35" t="str">
        <x:v>quanglv@tt-dnh.com</x:v>
      </x:c>
      <x:c r="C7" s="36" t="str">
        <x:v>Sz3*s6tZ</x:v>
      </x:c>
      <x:c r="D7" s="37" t="str"/>
      <x:c r="E7" s="35" t="str"/>
      <x:c r="F7" s="35" t="str">
        <x:v>Thiết kế</x:v>
      </x:c>
      <x:c r="G7" s="35" t="str">
        <x:v>Thiết kế</x:v>
      </x:c>
      <x:c r="H7" s="35" t="str">
        <x:v>design</x:v>
      </x:c>
    </x:row>
    <x:row r="8" ht="23" customHeight="1">
      <x:c r="A8" s="35" t="str">
        <x:v>Phạm Võ Như Tâm</x:v>
      </x:c>
      <x:c r="B8" s="35" t="str">
        <x:v>tampvn@tt-dnh.com</x:v>
      </x:c>
      <x:c r="C8" s="36" t="str">
        <x:v>mFFcH4%h</x:v>
      </x:c>
      <x:c r="D8" s="37" t="str"/>
      <x:c r="E8" s="35" t="str"/>
      <x:c r="F8" s="35" t="str">
        <x:v>Kế toán</x:v>
      </x:c>
      <x:c r="G8" s="35" t="str">
        <x:v>Kế toán</x:v>
      </x:c>
      <x:c r="H8" s="35" t="str">
        <x:v>accounting</x:v>
      </x:c>
    </x:row>
    <x:row r="9" ht="23" customHeight="1">
      <x:c r="A9" s="35" t="str">
        <x:v>Huỳnh Chúc Kim Ngân</x:v>
      </x:c>
      <x:c r="B9" s="35" t="str">
        <x:v>nganhck@tt-dnh.com</x:v>
      </x:c>
      <x:c r="C9" s="36" t="str">
        <x:v>pUMX!8di</x:v>
      </x:c>
      <x:c r="D9" s="37" t="str"/>
      <x:c r="E9" s="35" t="str"/>
      <x:c r="F9" s="35" t="str">
        <x:v>Kế toán</x:v>
      </x:c>
      <x:c r="G9" s="35" t="str">
        <x:v>Kế toán</x:v>
      </x:c>
      <x:c r="H9" s="35" t="str">
        <x:v>accounting</x:v>
      </x:c>
    </x:row>
    <x:row r="10" ht="23" customHeight="1">
      <x:c r="A10" s="35" t="str">
        <x:v>Vũ Thị Thảo</x:v>
      </x:c>
      <x:c r="B10" s="35" t="str">
        <x:v>thaovt@tt-dnh.com</x:v>
      </x:c>
      <x:c r="C10" s="36" t="str">
        <x:v>t4W5y#Xw</x:v>
      </x:c>
      <x:c r="D10" s="37" t="str"/>
      <x:c r="E10" s="35" t="str"/>
      <x:c r="F10" s="35" t="str">
        <x:v>Dự án</x:v>
      </x:c>
      <x:c r="G10" s="35" t="str">
        <x:v>Kỹ sư QS</x:v>
      </x:c>
      <x:c r="H10" s="35" t="str">
        <x:v>qs</x:v>
      </x:c>
    </x:row>
    <x:row r="11" ht="23" customHeight="1">
      <x:c r="A11" s="35" t="str">
        <x:v>Cao Nhất Hiệp</x:v>
      </x:c>
      <x:c r="B11" s="35" t="str">
        <x:v>hiepcn@tt-dnh.com</x:v>
      </x:c>
      <x:c r="C11" s="36" t="str">
        <x:v>#d3@ZFzM</x:v>
      </x:c>
      <x:c r="D11" s="37" t="str"/>
      <x:c r="E11" s="35" t="str"/>
      <x:c r="F11" s="35" t="str">
        <x:v>Thi công</x:v>
      </x:c>
      <x:c r="G11" s="35" t="str">
        <x:v>Giám sát</x:v>
      </x:c>
      <x:c r="H11" s="35" t="str">
        <x:v>supervisor</x:v>
      </x:c>
    </x:row>
    <x:row r="12" ht="23" customHeight="1">
      <x:c r="A12" s="35" t="str">
        <x:v>Dương Văn Vũ</x:v>
      </x:c>
      <x:c r="B12" s="35" t="str">
        <x:v>vudv@tt-dnh.com</x:v>
      </x:c>
      <x:c r="C12" s="36" t="str">
        <x:v>c@@2D4ET</x:v>
      </x:c>
      <x:c r="D12" s="37" t="str"/>
      <x:c r="E12" s="35" t="str"/>
      <x:c r="F12" s="35" t="str">
        <x:v>Thi công</x:v>
      </x:c>
      <x:c r="G12" s="35" t="str">
        <x:v>Giám sát</x:v>
      </x:c>
      <x:c r="H12" s="35" t="str">
        <x:v>supervisor</x:v>
      </x:c>
    </x:row>
    <x:row r="13" ht="23" customHeight="1">
      <x:c r="A13" s="35" t="str">
        <x:v>Mai Quận</x:v>
      </x:c>
      <x:c r="B13" s="35" t="str">
        <x:v>quanm@tt-dnh.com</x:v>
      </x:c>
      <x:c r="C13" s="36" t="str">
        <x:v>6Qs%Fr67</x:v>
      </x:c>
      <x:c r="D13" s="37" t="str"/>
      <x:c r="E13" s="35" t="str"/>
      <x:c r="F13" s="35" t="str">
        <x:v>Thi công</x:v>
      </x:c>
      <x:c r="G13" s="35" t="str">
        <x:v>Giám sát</x:v>
      </x:c>
      <x:c r="H13" s="35" t="str">
        <x:v>supervisor</x:v>
      </x:c>
    </x:row>
    <x:row r="14" ht="23" customHeight="1">
      <x:c r="A14" s="38" t="str">
        <x:v>Huỳnh Công Huy</x:v>
      </x:c>
      <x:c r="B14" s="38" t="str">
        <x:v>huyhc@tt-dnh.com</x:v>
      </x:c>
      <x:c r="C14" s="39" t="str">
        <x:v>cL4!Sn4@</x:v>
      </x:c>
      <x:c r="D14" s="40" t="str"/>
      <x:c r="E14" s="38" t="str"/>
      <x:c r="F14" s="38" t="str">
        <x:v>Thi công</x:v>
      </x:c>
      <x:c r="G14" s="38" t="str">
        <x:v>Giám sát</x:v>
      </x:c>
      <x:c r="H14" s="38" t="str">
        <x:v>supervisor</x:v>
      </x:c>
    </x:row>
  </x:sheetData>
  <x:dataValidations count="1">
    <x:dataValidation type="list" sqref="H2:H14">
      <x:formula1>'roles'!$A$2:$A$8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4cf364afbc448a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24" hidden="0" customWidth="1"/>
    <x:col min="4" max="4" width="16" hidden="0" customWidth="1"/>
  </x:cols>
  <x:sheetData>
    <x:row r="1" ht="28" customHeight="1">
      <x:c r="A1" s="42" t="str">
        <x:v>role_code</x:v>
      </x:c>
      <x:c r="B1" s="42" t="str">
        <x:v>Tên vai trò hệ thống</x:v>
      </x:c>
      <x:c r="C1" s="42" t="str">
        <x:v>Vị trí client</x:v>
      </x:c>
      <x:c r="D1" s="42" t="str">
        <x:v>Số tài khoản</x:v>
      </x:c>
    </x:row>
    <x:row r="2" ht="23" customHeight="1">
      <x:c r="A2" s="20" t="str">
        <x:v>director</x:v>
      </x:c>
      <x:c r="B2" s="20" t="str">
        <x:v>Giám đốc</x:v>
      </x:c>
      <x:c r="C2" s="20" t="str">
        <x:v>Giám đốc</x:v>
      </x:c>
      <x:c r="D2" s="49" t="n">
        <x:f>COUNTIF('accounts'!$H$2:$H$101,A2)</x:f>
        <x:v>1</x:v>
      </x:c>
    </x:row>
    <x:row r="3" ht="23" customHeight="1">
      <x:c r="A3" s="21" t="str">
        <x:v>procurement</x:v>
      </x:c>
      <x:c r="B3" s="21" t="str">
        <x:v>Mua hàng</x:v>
      </x:c>
      <x:c r="C3" s="21" t="str">
        <x:v>Mua hàng</x:v>
      </x:c>
      <x:c r="D3" s="50" t="n">
        <x:f>COUNTIF('accounts'!$H$2:$H$101,A3)</x:f>
        <x:v>1</x:v>
      </x:c>
    </x:row>
    <x:row r="4" ht="23" customHeight="1">
      <x:c r="A4" s="21" t="str">
        <x:v>pm</x:v>
      </x:c>
      <x:c r="B4" s="21" t="str">
        <x:v>PM</x:v>
      </x:c>
      <x:c r="C4" s="21" t="str">
        <x:v>Quản lý dự án</x:v>
      </x:c>
      <x:c r="D4" s="50" t="n">
        <x:f>COUNTIF('accounts'!$H$2:$H$101,A4)</x:f>
        <x:v>1</x:v>
      </x:c>
    </x:row>
    <x:row r="5" ht="23" customHeight="1">
      <x:c r="A5" s="21" t="str">
        <x:v>qs</x:v>
      </x:c>
      <x:c r="B5" s="21" t="str">
        <x:v>QS</x:v>
      </x:c>
      <x:c r="C5" s="21" t="str">
        <x:v>Kỹ sư QS</x:v>
      </x:c>
      <x:c r="D5" s="50" t="n">
        <x:f>COUNTIF('accounts'!$H$2:$H$101,A5)</x:f>
        <x:v>2</x:v>
      </x:c>
    </x:row>
    <x:row r="6" ht="23" customHeight="1">
      <x:c r="A6" s="21" t="str">
        <x:v>design</x:v>
      </x:c>
      <x:c r="B6" s="21" t="str">
        <x:v>Thiết kế</x:v>
      </x:c>
      <x:c r="C6" s="21" t="str">
        <x:v>Thiết kế</x:v>
      </x:c>
      <x:c r="D6" s="50" t="n">
        <x:f>COUNTIF('accounts'!$H$2:$H$101,A6)</x:f>
        <x:v>2</x:v>
      </x:c>
    </x:row>
    <x:row r="7" ht="23" customHeight="1">
      <x:c r="A7" s="21" t="str">
        <x:v>accounting</x:v>
      </x:c>
      <x:c r="B7" s="21" t="str">
        <x:v>Kế toán</x:v>
      </x:c>
      <x:c r="C7" s="21" t="str">
        <x:v>Kế toán</x:v>
      </x:c>
      <x:c r="D7" s="50" t="n">
        <x:f>COUNTIF('accounts'!$H$2:$H$101,A7)</x:f>
        <x:v>2</x:v>
      </x:c>
    </x:row>
    <x:row r="8" ht="23" customHeight="1">
      <x:c r="A8" s="22" t="str">
        <x:v>supervisor</x:v>
      </x:c>
      <x:c r="B8" s="22" t="str">
        <x:v>Giám sát</x:v>
      </x:c>
      <x:c r="C8" s="22" t="str">
        <x:v>Giám sát</x:v>
      </x:c>
      <x:c r="D8" s="51" t="n">
        <x:f>COUNTIF('accounts'!$H$2:$H$101,A8)</x:f>
        <x:v>4</x:v>
      </x:c>
    </x:row>
  </x:sheetData>
  <x:pageMargins left="0.7" right="0.7" top="0.75" bottom="0.75" header="0.3" footer="0.3"/>
  <x:tableParts count="1">
    <x:tablePart xmlns:r="http://schemas.openxmlformats.org/officeDocument/2006/relationships" r:id="R6512a5e85133479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55" t="str">
        <x:v>DANH SÁCH TÀI KHOẢN NHÂN SỰ TT-DNH</x:v>
      </x:c>
      <x:c r="B1" s="55"/>
      <x:c r="C1" s="55"/>
      <x:c r="D1" s="55"/>
      <x:c r="E1" s="55"/>
      <x:c r="F1" s="55"/>
      <x:c r="G1" s="55"/>
      <x:c r="H1" s="55"/>
    </x:row>
    <x:row r="2">
      <x:c r="A2" s="55"/>
      <x:c r="B2" s="55"/>
      <x:c r="C2" s="55"/>
      <x:c r="D2" s="55"/>
      <x:c r="E2" s="55"/>
      <x:c r="F2" s="55"/>
      <x:c r="G2" s="55"/>
      <x:c r="H2" s="55"/>
    </x:row>
    <x:row r="4" ht="24" customHeight="1">
      <x:c r="A4" s="57" t="str">
        <x:v>Ngày lập</x:v>
      </x:c>
      <x:c r="B4" t="str">
        <x:v>2026-08-22</x:v>
      </x:c>
    </x:row>
    <x:row r="5" ht="24" customHeight="1">
      <x:c r="A5" s="57" t="str">
        <x:v>Nguồn</x:v>
      </x:c>
      <x:c r="B5" t="str">
        <x:v>Danh sách hr.jpeg do client cung cấp</x:v>
      </x:c>
    </x:row>
    <x:row r="6" ht="24" customHeight="1">
      <x:c r="A6" s="57" t="str">
        <x:v>Tổng tài khoản</x:v>
      </x:c>
      <x:c r="B6" t="n">
        <x:f>COUNTA('accounts'!A2:A101)</x:f>
        <x:v>13</x:v>
      </x:c>
    </x:row>
    <x:row r="7" ht="24" customHeight="1">
      <x:c r="A7" s="57" t="str">
        <x:v>Tên miền đăng nhập</x:v>
      </x:c>
      <x:c r="B7" t="str">
        <x:v>tt-dnh.com</x:v>
      </x:c>
    </x:row>
    <x:row r="9" ht="28" customHeight="1">
      <x:c r="A9" s="60" t="str">
        <x:v>LƯU Ý TRƯỚC KHI IMPORT PRODUCTION</x:v>
      </x:c>
      <x:c r="B9" s="60"/>
      <x:c r="C9" s="60"/>
      <x:c r="D9" s="60"/>
      <x:c r="E9" s="60"/>
      <x:c r="F9" s="60"/>
      <x:c r="G9" s="60"/>
      <x:c r="H9" s="60"/>
    </x:row>
    <x:row r="10" ht="34" customHeight="1">
      <x:c r="A10" s="68" t="str">
        <x:v>1. Sheet accounts có đúng 8 cột theo hợp đồng import; không đổi tên hoặc thứ tự tiêu đề.</x:v>
      </x:c>
      <x:c r="B10" s="68"/>
      <x:c r="C10" s="68"/>
      <x:c r="D10" s="68"/>
      <x:c r="E10" s="68"/>
      <x:c r="F10" s="68"/>
      <x:c r="G10" s="68"/>
      <x:c r="H10" s="68"/>
    </x:row>
    <x:row r="11" ht="34" customHeight="1">
      <x:c r="A11" s="69" t="str">
        <x:v>2. Email được tạo theo quy tắc: tên + họ viết tắt + tên lót viết tắt, bỏ dấu, @tt-dnh.com.</x:v>
      </x:c>
      <x:c r="B11" s="69"/>
      <x:c r="C11" s="69"/>
      <x:c r="D11" s="69"/>
      <x:c r="E11" s="69"/>
      <x:c r="F11" s="69"/>
      <x:c r="G11" s="69"/>
      <x:c r="H11" s="69"/>
    </x:row>
    <x:row r="12" ht="34" customHeight="1">
      <x:c r="A12" s="69" t="str">
        <x:v>3. Mỗi mật khẩu đề xuất có đúng 8 ký tự, gồm chữ hoa, chữ thường, số và ký tự đặc biệt.</x:v>
      </x:c>
      <x:c r="B12" s="69"/>
      <x:c r="C12" s="69"/>
      <x:c r="D12" s="69"/>
      <x:c r="E12" s="69"/>
      <x:c r="F12" s="69"/>
      <x:c r="G12" s="69"/>
      <x:c r="H12" s="69"/>
    </x:row>
    <x:row r="13" ht="34" customHeight="1">
      <x:c r="A13" s="69" t="str">
        <x:v>4. recovery_email và phone đang để trống vì client chưa cung cấp; có thể bổ sung trước khi import.</x:v>
      </x:c>
      <x:c r="B13" s="69"/>
      <x:c r="C13" s="69"/>
      <x:c r="D13" s="69"/>
      <x:c r="E13" s="69"/>
      <x:c r="F13" s="69"/>
      <x:c r="G13" s="69"/>
      <x:c r="H13" s="69"/>
    </x:row>
    <x:row r="14" ht="34" customHeight="1">
      <x:c r="A14" s="69" t="str">
        <x:v>5. Tài khoản được kích hoạt ngay sau import và bắt buộc đổi mật khẩu ở lần đăng nhập đầu tiên.</x:v>
      </x:c>
      <x:c r="B14" s="69"/>
      <x:c r="C14" s="69"/>
      <x:c r="D14" s="69"/>
      <x:c r="E14" s="69"/>
      <x:c r="F14" s="69"/>
      <x:c r="G14" s="69"/>
      <x:c r="H14" s="69"/>
    </x:row>
    <x:row r="15" ht="34" customHeight="1">
      <x:c r="A15" s="69" t="str">
        <x:v>6. Tệp chứa mật khẩu dạng rõ. Chỉ truyền qua kênh an toàn và xóa tệp sau khi import thành công.</x:v>
      </x:c>
      <x:c r="B15" s="69"/>
      <x:c r="C15" s="69"/>
      <x:c r="D15" s="69"/>
      <x:c r="E15" s="69"/>
      <x:c r="F15" s="69"/>
      <x:c r="G15" s="69"/>
      <x:c r="H15" s="69"/>
    </x:row>
    <x:row r="16" ht="34" customHeight="1">
      <x:c r="A16" s="70" t="str">
        <x:v>7. Role đã đối chiếu với hệ thống: director, procurement, pm, qs, design, accounting, supervisor.</x:v>
      </x:c>
      <x:c r="B16" s="70"/>
      <x:c r="C16" s="70"/>
      <x:c r="D16" s="70"/>
      <x:c r="E16" s="70"/>
      <x:c r="F16" s="70"/>
      <x:c r="G16" s="70"/>
      <x:c r="H16" s="70"/>
    </x:row>
  </x:sheetData>
  <x:mergeCells>
    <x:mergeCell ref="A1:H2"/>
    <x:mergeCell ref="A9:H9"/>
    <x:mergeCell ref="A10:H10"/>
    <x:mergeCell ref="A11:H11"/>
    <x:mergeCell ref="A12:H12"/>
    <x:mergeCell ref="A13:H13"/>
    <x:mergeCell ref="A14:H14"/>
    <x:mergeCell ref="A15:H15"/>
    <x:mergeCell ref="A16:H16"/>
  </x:mergeCells>
  <x:pageMargins left="0.7" right="0.7" top="0.75" bottom="0.75" header="0.3" footer="0.3"/>
</x:worksheet>
</file>